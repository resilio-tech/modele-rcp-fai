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ubet Louise\Projet\Ademe_RCP_FAI\modele-rcp-fai\"/>
    </mc:Choice>
  </mc:AlternateContent>
  <xr:revisionPtr revIDLastSave="0" documentId="13_ncr:1_{33D74419-9216-4DA9-A435-06AE69E2D13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aide" sheetId="6" r:id="rId1"/>
    <sheet name="achats_2022" sheetId="4" r:id="rId2"/>
    <sheet name="démontage_2022" sheetId="14" r:id="rId3"/>
    <sheet name="parc_entier" sheetId="1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5" l="1"/>
  <c r="AA2" i="15"/>
  <c r="AB2" i="15"/>
  <c r="Z2" i="15"/>
  <c r="Y2" i="15"/>
  <c r="X2" i="15"/>
  <c r="W2" i="15"/>
  <c r="V2" i="15"/>
  <c r="U2" i="15"/>
  <c r="T2" i="15"/>
  <c r="S2" i="15"/>
  <c r="Q2" i="15"/>
  <c r="P2" i="15"/>
  <c r="O2" i="15"/>
  <c r="N2" i="15"/>
  <c r="M2" i="15"/>
  <c r="L2" i="15"/>
  <c r="K2" i="15"/>
  <c r="Y2" i="14" l="1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X2" i="4" l="1"/>
  <c r="V2" i="4"/>
  <c r="W2" i="4"/>
  <c r="N2" i="4"/>
  <c r="O2" i="4"/>
  <c r="P2" i="4"/>
  <c r="Y2" i="4"/>
  <c r="Q2" i="4"/>
  <c r="S2" i="4"/>
  <c r="T2" i="4"/>
  <c r="U2" i="4"/>
  <c r="R2" i="4"/>
  <c r="K2" i="4"/>
  <c r="L2" i="4"/>
  <c r="M2" i="4"/>
  <c r="J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300ED9A0-EDF1-456F-914E-16E3DEDC506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4" authorId="0" shapeId="0" xr:uid="{D326B242-BC56-48B0-9F63-5E55B966726E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96DD2BF5-007B-4194-AF54-3E6C1A6885E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0B6DEE7E-E440-463C-9A16-4E7648D1FD7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84534EA5-DCAA-4BD5-8C0E-DAAE3099100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9B106DFE-D9ED-49FC-806C-DEAA3703435A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51" authorId="0" shapeId="0" xr:uid="{F4E40B13-F4B3-4DE9-BDF3-11F50B5C3D01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82DA9543-C53E-47AC-A66D-171A697FEED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272A9456-17CD-4DD2-8DD2-1914DB441AC1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00AAD290-E596-4F81-ADF2-EBE512739A5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DCFEF5BD-2DBE-413E-8289-CCFE797BD86E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4" authorId="0" shapeId="0" xr:uid="{037D6084-0BC8-4F35-B5DB-C9298E9069E9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14141D66-4D57-4B24-BCE7-B1BD66A52DE3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6172C6AD-2FC6-48DB-8FD6-3A1EA299FE87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6B531EBF-8ED1-4257-82A0-3E62986D3680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6D024598-7309-433E-99CA-673482FCB8A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S51" authorId="0" shapeId="0" xr:uid="{5979FFD9-250B-445B-A527-EC8642FF922B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6E6A514D-2C7B-49AB-9B03-5430D0A052C7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77746A29-C526-441B-8350-1C5D0464CF08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713682D3-C40E-44DB-A931-EE927CDDEF8F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Louise Aubet</author>
  </authors>
  <commentList>
    <comment ref="C4" authorId="0" shapeId="0" xr:uid="{A3373F34-6E31-4AFD-AEB3-14530041255F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U4" authorId="0" shapeId="0" xr:uid="{FCA93B9F-D391-420A-9033-1185C77CBFA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6" authorId="0" shapeId="0" xr:uid="{2D4E7E04-2BD2-46F2-9269-17F252790A85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7" authorId="0" shapeId="0" xr:uid="{BE624AEE-97E0-459A-AC6D-4ED99751C574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10" authorId="0" shapeId="0" xr:uid="{C5685A7D-06BA-4AE7-81D8-AB8BDC87104C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  <comment ref="C51" authorId="0" shapeId="0" xr:uid="{EB096B04-68EE-4561-8963-B4B1073AB01B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modem ADSL avec
routeur WiFi intégré</t>
        </r>
      </text>
    </comment>
    <comment ref="U51" authorId="0" shapeId="0" xr:uid="{54591DE4-46F7-4A5B-A8EB-3904666E3CCD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(700, 800, 900, 1800, 2100, 2600MHz)</t>
        </r>
      </text>
    </comment>
    <comment ref="C53" authorId="0" shapeId="0" xr:uid="{A4EB8C1D-3200-4C8B-A088-471AE8F5AF02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
</t>
        </r>
      </text>
    </comment>
    <comment ref="C54" authorId="0" shapeId="0" xr:uid="{BF78EF17-E30B-4242-A776-2957CEACD282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ONT ou un SFP</t>
        </r>
      </text>
    </comment>
    <comment ref="C57" authorId="0" shapeId="0" xr:uid="{6F83736F-98F8-4EEF-8628-89A4E55D730C}">
      <text>
        <r>
          <rPr>
            <b/>
            <sz val="9"/>
            <color indexed="81"/>
            <rFont val="Tahoma"/>
            <family val="2"/>
          </rPr>
          <t>Louise Aubet:</t>
        </r>
        <r>
          <rPr>
            <sz val="9"/>
            <color indexed="81"/>
            <rFont val="Tahoma"/>
            <family val="2"/>
          </rPr>
          <t xml:space="preserve">
routeur WiFi intégrant un modem DOCSIS</t>
        </r>
      </text>
    </comment>
  </commentList>
</comments>
</file>

<file path=xl/sharedStrings.xml><?xml version="1.0" encoding="utf-8"?>
<sst xmlns="http://schemas.openxmlformats.org/spreadsheetml/2006/main" count="1780" uniqueCount="158">
  <si>
    <t>Câble cuivre</t>
  </si>
  <si>
    <t>-</t>
  </si>
  <si>
    <t>ONT (externe)</t>
  </si>
  <si>
    <t>Antenne passive multibandes (1.4m à 2.7m)</t>
  </si>
  <si>
    <t>NODEB - BBU 3G</t>
  </si>
  <si>
    <t>ENODEB - BBU 4G</t>
  </si>
  <si>
    <t>GNODEB - BBU 5G</t>
  </si>
  <si>
    <t>AAS - Antenne Active 3,5GHz</t>
  </si>
  <si>
    <t>Routeur de collecte sur site radio</t>
  </si>
  <si>
    <t>Routeur d'agrégation</t>
  </si>
  <si>
    <t>Security Gateway 4G/5G</t>
  </si>
  <si>
    <t>Equipement WDM backbone</t>
  </si>
  <si>
    <t>Routeur P-PE-Peering</t>
  </si>
  <si>
    <t>Petit site d’hébergement réseau fixe</t>
  </si>
  <si>
    <t>Equipement</t>
  </si>
  <si>
    <t>Catégorie</t>
  </si>
  <si>
    <t>Qualité de la donnée</t>
  </si>
  <si>
    <t>Commentaire</t>
  </si>
  <si>
    <t>Réseau fixe</t>
  </si>
  <si>
    <t>Réseau fixe + mobile</t>
  </si>
  <si>
    <t>Réseau mobile</t>
  </si>
  <si>
    <t>Routeur/switch de collecte sur site</t>
  </si>
  <si>
    <t>Box IAD/CPE sans ONT/SFP</t>
  </si>
  <si>
    <t>Box IAD avec ONT/SFP intégré</t>
  </si>
  <si>
    <t>OLT</t>
  </si>
  <si>
    <t>Box IAD/CPE câble</t>
  </si>
  <si>
    <t>BTS - BBU 2G</t>
  </si>
  <si>
    <t>Équipement WDM de boucle d'agrégation</t>
  </si>
  <si>
    <t>MME/SGSN</t>
  </si>
  <si>
    <t>HSS/HLR</t>
  </si>
  <si>
    <t>SP-GW/GGSN</t>
  </si>
  <si>
    <t>PCRF</t>
  </si>
  <si>
    <t xml:space="preserve">Gi LAN </t>
  </si>
  <si>
    <t xml:space="preserve">FW Roaming </t>
  </si>
  <si>
    <t>Quantité</t>
  </si>
  <si>
    <t>Unité</t>
  </si>
  <si>
    <t>m</t>
  </si>
  <si>
    <t>Fibre optique 2 brins</t>
  </si>
  <si>
    <t>Fibre optique 12 brins</t>
  </si>
  <si>
    <t>Fibre optique 24 brins</t>
  </si>
  <si>
    <t>Fibre optique 48 brins</t>
  </si>
  <si>
    <t>Fibre optique 72 brins</t>
  </si>
  <si>
    <t>Fibre optique 96 brins</t>
  </si>
  <si>
    <t>Fibre optique 144 brins</t>
  </si>
  <si>
    <t>Fibre optique 288 brins</t>
  </si>
  <si>
    <t>Fibre optique 576 brins</t>
  </si>
  <si>
    <t>Fibre optique 720 brins</t>
  </si>
  <si>
    <t>unité</t>
  </si>
  <si>
    <t>Box IAD/CPE</t>
  </si>
  <si>
    <t>DSLAM</t>
  </si>
  <si>
    <t>Amplificateur RRU/RRH</t>
  </si>
  <si>
    <t>Accès opérateur</t>
  </si>
  <si>
    <t>Agrégation</t>
  </si>
  <si>
    <t>Backbone</t>
  </si>
  <si>
    <t>Fibres optiques - Agrégation et backbone</t>
  </si>
  <si>
    <t xml:space="preserve">   - Béton pour le bâtiment</t>
  </si>
  <si>
    <t xml:space="preserve">   - Acier pour le bâtiment</t>
  </si>
  <si>
    <t>m3</t>
  </si>
  <si>
    <t>kg</t>
  </si>
  <si>
    <t>Site moyen d’hébergement réseau fixe</t>
  </si>
  <si>
    <t xml:space="preserve">   - Transformateur</t>
  </si>
  <si>
    <t xml:space="preserve">   - TGBT</t>
  </si>
  <si>
    <t xml:space="preserve">   - TDHQ</t>
  </si>
  <si>
    <t xml:space="preserve">   - Redresseur</t>
  </si>
  <si>
    <t xml:space="preserve">   - Climatiseur</t>
  </si>
  <si>
    <t xml:space="preserve">   - Centrale de traitement d'air</t>
  </si>
  <si>
    <t xml:space="preserve">   - Groupe électrogène</t>
  </si>
  <si>
    <t xml:space="preserve">   - Cuve à fioul remplie</t>
  </si>
  <si>
    <t>Grand site d’hébergement réseau fixe</t>
  </si>
  <si>
    <t>Grand site d'hébergement réseau fixe</t>
  </si>
  <si>
    <t xml:space="preserve">   - Onduleurs</t>
  </si>
  <si>
    <t xml:space="preserve">   - Batteries</t>
  </si>
  <si>
    <t xml:space="preserve">   - Cuivre</t>
  </si>
  <si>
    <t xml:space="preserve">   - Fibre optique</t>
  </si>
  <si>
    <t>Site hébergement réseau mobile ‐ NRO</t>
  </si>
  <si>
    <t xml:space="preserve">   - Béton pour le bâtiment (incluant dalles et shelter)</t>
  </si>
  <si>
    <t xml:space="preserve">   - Acier pour le bâtiment (incluant dalles et shelter)</t>
  </si>
  <si>
    <t xml:space="preserve">   - TransformateurTGBT</t>
  </si>
  <si>
    <t>Grille d'inventaire pour l'évaluation des impacts environnementaux du réseau</t>
  </si>
  <si>
    <t>Usage mono-opérateur</t>
  </si>
  <si>
    <t>Usage multi-opérateurs</t>
  </si>
  <si>
    <t xml:space="preserve">   - Transformateur TGBT</t>
  </si>
  <si>
    <t>Basse</t>
  </si>
  <si>
    <t>Moyenne</t>
  </si>
  <si>
    <t>Haute</t>
  </si>
  <si>
    <t xml:space="preserve">Qualité </t>
  </si>
  <si>
    <t xml:space="preserve">  -  Du type de réseau :</t>
  </si>
  <si>
    <t xml:space="preserve">  -  Du type d’usage :</t>
  </si>
  <si>
    <t>Les équipements sont répartis en 6 catégories, en fonction :</t>
  </si>
  <si>
    <t xml:space="preserve">Les valeurs possibles sont les suivantes : </t>
  </si>
  <si>
    <t>Distance parcourue par les professionnels</t>
  </si>
  <si>
    <t>km</t>
  </si>
  <si>
    <t>Installation</t>
  </si>
  <si>
    <t>Maintenance</t>
  </si>
  <si>
    <t xml:space="preserve">Préciser ici le moyen de transport </t>
  </si>
  <si>
    <t>Périmètre</t>
  </si>
  <si>
    <t>Organisation du fichier</t>
  </si>
  <si>
    <r>
      <t xml:space="preserve">  -  </t>
    </r>
    <r>
      <rPr>
        <b/>
        <sz val="10"/>
        <color theme="1"/>
        <rFont val="Calibri"/>
        <family val="2"/>
        <scheme val="minor"/>
      </rPr>
      <t>Partie fixe</t>
    </r>
    <r>
      <rPr>
        <sz val="10"/>
        <color theme="1"/>
        <rFont val="Calibri"/>
        <family val="2"/>
        <scheme val="minor"/>
      </rPr>
      <t xml:space="preserve"> : partie du réseau télécom utilisée strictement pour le fonctionnement du réseau fixe</t>
    </r>
  </si>
  <si>
    <r>
      <t xml:space="preserve">  -  </t>
    </r>
    <r>
      <rPr>
        <b/>
        <sz val="10"/>
        <color theme="1"/>
        <rFont val="Calibri"/>
        <family val="2"/>
        <scheme val="minor"/>
      </rPr>
      <t>Partie mobile</t>
    </r>
    <r>
      <rPr>
        <sz val="10"/>
        <color theme="1"/>
        <rFont val="Calibri"/>
        <family val="2"/>
        <scheme val="minor"/>
      </rPr>
      <t xml:space="preserve"> : partie du réseau télécom utilisée strictement pour le fonctionnement du réseau mobile</t>
    </r>
  </si>
  <si>
    <r>
      <t xml:space="preserve">  -  </t>
    </r>
    <r>
      <rPr>
        <b/>
        <sz val="10"/>
        <color theme="1"/>
        <rFont val="Calibri"/>
        <family val="2"/>
        <scheme val="minor"/>
      </rPr>
      <t>Partie fixe + mobile</t>
    </r>
    <r>
      <rPr>
        <sz val="10"/>
        <color theme="1"/>
        <rFont val="Calibri"/>
        <family val="2"/>
        <scheme val="minor"/>
      </rPr>
      <t xml:space="preserve"> : partie du réseau télécom utilisée, à la fois, pour le fonctionnement du réseau fixe et du réseau mobile</t>
    </r>
  </si>
  <si>
    <r>
      <t xml:space="preserve">  -  </t>
    </r>
    <r>
      <rPr>
        <b/>
        <sz val="10"/>
        <color theme="1"/>
        <rFont val="Calibri"/>
        <family val="2"/>
        <scheme val="minor"/>
      </rPr>
      <t>Usage mono-opérateur</t>
    </r>
    <r>
      <rPr>
        <sz val="10"/>
        <color theme="1"/>
        <rFont val="Calibri"/>
        <family val="2"/>
        <scheme val="minor"/>
      </rPr>
      <t xml:space="preserve"> : élément du réseau télécom géré par un opérateur dont l’usage finale est à destination uniquement de ses abonnés</t>
    </r>
  </si>
  <si>
    <r>
      <t xml:space="preserve">  -  </t>
    </r>
    <r>
      <rPr>
        <b/>
        <sz val="10"/>
        <color theme="1"/>
        <rFont val="Calibri"/>
        <family val="2"/>
        <scheme val="minor"/>
      </rPr>
      <t>Usage multi-opérateurs</t>
    </r>
    <r>
      <rPr>
        <sz val="10"/>
        <color theme="1"/>
        <rFont val="Calibri"/>
        <family val="2"/>
        <scheme val="minor"/>
      </rPr>
      <t xml:space="preserve"> : élément du réseau télécom géré par un opérateur dont l’usage finale est à destination d’abonnés rattachés à un ou plusieurs opérateurs</t>
    </r>
  </si>
  <si>
    <t xml:space="preserve">Ce fichier permet de réaliser l'inventaire du cycle de vie (ICV) des équipements du réseau télécom. </t>
  </si>
  <si>
    <t>Remarque sur l'installation et la maintenance : La fabrication des équipements et des pièces de rechange nécessaires aux opérations doit être prise en compte dans l'inventaire</t>
  </si>
  <si>
    <r>
      <t xml:space="preserve">Une </t>
    </r>
    <r>
      <rPr>
        <b/>
        <sz val="10"/>
        <color theme="1"/>
        <rFont val="Calibri"/>
        <family val="2"/>
        <scheme val="minor"/>
      </rPr>
      <t>estimation de la qualitée de chaque donnée</t>
    </r>
    <r>
      <rPr>
        <sz val="10"/>
        <color theme="1"/>
        <rFont val="Calibri"/>
        <family val="2"/>
        <scheme val="minor"/>
      </rPr>
      <t xml:space="preserve"> est demandée.</t>
    </r>
  </si>
  <si>
    <t>Dans le cas ou un opérateur n’est pas capable de différencier un usage mono-opérateur d’un usage multi-opérateur, l’élèment du réseau sera par défaut considéré comme un usage multi-opérateurs. L’opérateur devra être en mesure de justifier cette situation.</t>
  </si>
  <si>
    <t>En l'absence d'information sur les éléments d'infrastructure ci-dessous, renseigner le nombre de sites sur cette ligne.</t>
  </si>
  <si>
    <t>: Donnée fiable (ex : extraite d'un rapport, d'une facture, d'un inventaire)</t>
  </si>
  <si>
    <t>: Estimation grossière ou valeur moyenne</t>
  </si>
  <si>
    <t>Equipements en usage multi-opérateurs</t>
  </si>
  <si>
    <t>Autres opérateurs utilisant les équipements et quelle quantité</t>
  </si>
  <si>
    <t>Une des colonnes demande de renseigner les "Autres opérateurs utilisant les équipements et quelle quantité".</t>
  </si>
  <si>
    <t>Exemple de remplissage par l'opérateur A :</t>
  </si>
  <si>
    <t>: Certaines hypothèses ont du être réalisées</t>
  </si>
  <si>
    <t>Cela signifie que l'opérateur A possède 100 routeurs. Parmi ces 100 équipements, 50 sont partagés avec l'opérateur B, 60 sont partagés avec l'opérateur C et 30 sont partagés avec l'opérateur D.</t>
  </si>
  <si>
    <t>Routeur/switch de collecte</t>
  </si>
  <si>
    <r>
      <t>On considère ici</t>
    </r>
    <r>
      <rPr>
        <b/>
        <sz val="10"/>
        <color theme="1"/>
        <rFont val="Calibri"/>
        <family val="2"/>
        <scheme val="minor"/>
      </rPr>
      <t xml:space="preserve"> :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</si>
  <si>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'achats_2022'</t>
    </r>
    <r>
      <rPr>
        <sz val="10"/>
        <color theme="1"/>
        <rFont val="Calibri"/>
        <family val="2"/>
        <scheme val="minor"/>
      </rPr>
      <t xml:space="preserve"> : les équipements </t>
    </r>
    <r>
      <rPr>
        <b/>
        <sz val="10"/>
        <color theme="1"/>
        <rFont val="Calibri"/>
        <family val="2"/>
        <scheme val="minor"/>
      </rPr>
      <t>achetés durant l'année 2022</t>
    </r>
    <r>
      <rPr>
        <sz val="10"/>
        <color theme="1"/>
        <rFont val="Calibri"/>
        <family val="2"/>
        <scheme val="minor"/>
      </rPr>
      <t xml:space="preserve"> seulement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</si>
  <si>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'démontage_2022'</t>
    </r>
    <r>
      <rPr>
        <sz val="10"/>
        <color theme="1"/>
        <rFont val="Calibri"/>
        <family val="2"/>
        <scheme val="minor"/>
      </rPr>
      <t xml:space="preserve"> : les équipements démontés ou récupérés</t>
    </r>
    <r>
      <rPr>
        <b/>
        <sz val="10"/>
        <color theme="1"/>
        <rFont val="Calibri"/>
        <family val="2"/>
        <scheme val="minor"/>
      </rPr>
      <t xml:space="preserve"> durant l'année 2022</t>
    </r>
    <r>
      <rPr>
        <sz val="10"/>
        <color theme="1"/>
        <rFont val="Calibri"/>
        <family val="2"/>
        <scheme val="minor"/>
      </rPr>
      <t xml:space="preserve"> seulement (exemple : box utilisateur)</t>
    </r>
  </si>
  <si>
    <t>Dans un premier temps, une estimation des quantités est acceptée.</t>
  </si>
  <si>
    <r>
      <t xml:space="preserve">  -   Onglet </t>
    </r>
    <r>
      <rPr>
        <b/>
        <sz val="10"/>
        <color theme="1"/>
        <rFont val="Calibri"/>
        <family val="2"/>
        <scheme val="minor"/>
      </rPr>
      <t>'parc_entier'</t>
    </r>
    <r>
      <rPr>
        <sz val="10"/>
        <color theme="1"/>
        <rFont val="Calibri"/>
        <family val="2"/>
        <scheme val="minor"/>
      </rPr>
      <t xml:space="preserve"> : les équipements de l'</t>
    </r>
    <r>
      <rPr>
        <b/>
        <sz val="10"/>
        <color theme="1"/>
        <rFont val="Calibri"/>
        <family val="2"/>
        <scheme val="minor"/>
      </rPr>
      <t>ensemble du parc</t>
    </r>
    <r>
      <rPr>
        <sz val="10"/>
        <color theme="1"/>
        <rFont val="Calibri"/>
        <family val="2"/>
        <scheme val="minor"/>
      </rPr>
      <t xml:space="preserve">, en prenant en compte la durée de vie. Dans ce cas, le niveau de qualité accepté est plus faible. </t>
    </r>
  </si>
  <si>
    <t>La somme des valeurs renseignées dans cette colonne doit être supérieure ou égale à la quantité d'équipements possédés par l'opérateur A.</t>
  </si>
  <si>
    <t>Durée de vie</t>
  </si>
  <si>
    <r>
      <t xml:space="preserve">Pour rappel, la durée de vie demandée pour les équipements du parc est la </t>
    </r>
    <r>
      <rPr>
        <b/>
        <sz val="10"/>
        <color theme="1"/>
        <rFont val="Calibri"/>
        <family val="2"/>
        <scheme val="minor"/>
      </rPr>
      <t>durée de vie « réelle »</t>
    </r>
    <r>
      <rPr>
        <sz val="10"/>
        <color theme="1"/>
        <rFont val="Calibri"/>
        <family val="2"/>
        <scheme val="minor"/>
      </rPr>
      <t xml:space="preserve"> et non la durée de vie estimée (projetée) jusqu'à la fin de vie. La première durée de vie (avant d'être utilisé par l'opérateur) doit être comptabilisée, le cas échéant. </t>
    </r>
  </si>
  <si>
    <t>Equipements reconditionnés</t>
  </si>
  <si>
    <t>Pourcentage de reconditionnement (%)</t>
  </si>
  <si>
    <t xml:space="preserve">Pour permettre cette distinction, le pourcentage d'équipements reconditionnés par catégorie est demandé. </t>
  </si>
  <si>
    <r>
      <t xml:space="preserve">Exemple : On considère une box qui a été utilisée pendant 4 ans dans une première vie. Elle est maintenant dans le parc de l'opérateur A depuis 2 ans. La durée de vie attendue pour cette box est de </t>
    </r>
    <r>
      <rPr>
        <u/>
        <sz val="10"/>
        <color theme="1"/>
        <rFont val="Calibri"/>
        <family val="2"/>
        <scheme val="minor"/>
      </rPr>
      <t>6 ans</t>
    </r>
    <r>
      <rPr>
        <sz val="10"/>
        <color theme="1"/>
        <rFont val="Calibri"/>
        <family val="2"/>
        <scheme val="minor"/>
      </rPr>
      <t>.</t>
    </r>
  </si>
  <si>
    <t>Exemple de remplissage :</t>
  </si>
  <si>
    <t>Cela signifie que l'opérateur A possède 100 routeurs dont 50 sont reconditionnés.</t>
  </si>
  <si>
    <t>Impacts environnementaux (ACV équipementiers)</t>
  </si>
  <si>
    <r>
      <t xml:space="preserve">  -   Onglet </t>
    </r>
    <r>
      <rPr>
        <b/>
        <sz val="10"/>
        <color theme="1"/>
        <rFont val="Calibri"/>
        <family val="2"/>
        <scheme val="minor"/>
      </rPr>
      <t>'données_supplémentaires'</t>
    </r>
    <r>
      <rPr>
        <sz val="10"/>
        <color theme="1"/>
        <rFont val="Calibri"/>
        <family val="2"/>
        <scheme val="minor"/>
      </rPr>
      <t xml:space="preserve"> : les valeurs de données transférées et nombre d'abonné.es en 2022</t>
    </r>
  </si>
  <si>
    <r>
      <t xml:space="preserve">  -   Onglet </t>
    </r>
    <r>
      <rPr>
        <b/>
        <sz val="10"/>
        <color theme="1"/>
        <rFont val="Calibri"/>
        <family val="2"/>
        <scheme val="minor"/>
      </rPr>
      <t>'facteurs_impacts'</t>
    </r>
    <r>
      <rPr>
        <sz val="10"/>
        <color theme="1"/>
        <rFont val="Calibri"/>
        <family val="2"/>
        <scheme val="minor"/>
      </rPr>
      <t xml:space="preserve"> : les valeurs des facteurs d'impacts environnementaux des catégories d'équipement pour l'ensemble des phases du cycle de vie</t>
    </r>
  </si>
  <si>
    <t>Durée de vie totale (an)</t>
  </si>
  <si>
    <r>
      <t xml:space="preserve">  -   </t>
    </r>
    <r>
      <rPr>
        <b/>
        <sz val="10"/>
        <color theme="1"/>
        <rFont val="Calibri"/>
        <family val="2"/>
        <scheme val="minor"/>
      </rPr>
      <t>Fabrication</t>
    </r>
    <r>
      <rPr>
        <sz val="10"/>
        <color theme="1"/>
        <rFont val="Calibri"/>
        <family val="2"/>
        <scheme val="minor"/>
      </rPr>
      <t xml:space="preserve"> : comprend les phases A1, A2, B1.1, B1.2, B2.1 et B3.1 </t>
    </r>
  </si>
  <si>
    <t>Selon la norme ITU L. 1410 et le RCP FAI (tab. 2, p1.0), les phases du cycle de vie attendue sont les suivantes :</t>
  </si>
  <si>
    <r>
      <t xml:space="preserve">  -   </t>
    </r>
    <r>
      <rPr>
        <b/>
        <sz val="10"/>
        <color theme="1"/>
        <rFont val="Calibri"/>
        <family val="2"/>
        <scheme val="minor"/>
      </rPr>
      <t>Distribution</t>
    </r>
    <r>
      <rPr>
        <sz val="10"/>
        <color theme="1"/>
        <rFont val="Calibri"/>
        <family val="2"/>
        <scheme val="minor"/>
      </rPr>
      <t xml:space="preserve"> : aucune précision n'est donnée</t>
    </r>
  </si>
  <si>
    <r>
      <t xml:space="preserve">  -   </t>
    </r>
    <r>
      <rPr>
        <b/>
        <sz val="10"/>
        <color theme="1"/>
        <rFont val="Calibri"/>
        <family val="2"/>
        <scheme val="minor"/>
      </rPr>
      <t>Utilisation</t>
    </r>
    <r>
      <rPr>
        <sz val="10"/>
        <color theme="1"/>
        <rFont val="Calibri"/>
        <family val="2"/>
        <scheme val="minor"/>
      </rPr>
      <t xml:space="preserve"> : comprend les phases C1 à C4</t>
    </r>
  </si>
  <si>
    <r>
      <t xml:space="preserve">  -   </t>
    </r>
    <r>
      <rPr>
        <b/>
        <sz val="10"/>
        <color theme="1"/>
        <rFont val="Calibri"/>
        <family val="2"/>
        <scheme val="minor"/>
      </rPr>
      <t>Fin de vie</t>
    </r>
    <r>
      <rPr>
        <sz val="10"/>
        <color theme="1"/>
        <rFont val="Calibri"/>
        <family val="2"/>
        <scheme val="minor"/>
      </rPr>
      <t xml:space="preserve"> : comprend les phases D1 et D2.1</t>
    </r>
  </si>
  <si>
    <r>
      <t xml:space="preserve">Les impacts environnementaux par catégories d'équipements renseignés, doivent être la </t>
    </r>
    <r>
      <rPr>
        <b/>
        <sz val="10"/>
        <color theme="1"/>
        <rFont val="Calibri"/>
        <family val="2"/>
        <scheme val="minor"/>
      </rPr>
      <t>moyenne des impacts</t>
    </r>
    <r>
      <rPr>
        <sz val="10"/>
        <color theme="1"/>
        <rFont val="Calibri"/>
        <family val="2"/>
        <scheme val="minor"/>
      </rPr>
      <t xml:space="preserve"> de chaque type d'équipements, </t>
    </r>
    <r>
      <rPr>
        <b/>
        <sz val="10"/>
        <color theme="1"/>
        <rFont val="Calibri"/>
        <family val="2"/>
        <scheme val="minor"/>
      </rPr>
      <t>pondérées par le nombre d'équipements</t>
    </r>
    <r>
      <rPr>
        <sz val="10"/>
        <color theme="1"/>
        <rFont val="Calibri"/>
        <family val="2"/>
        <scheme val="minor"/>
      </rPr>
      <t>.</t>
    </r>
  </si>
  <si>
    <t>Opérateur A, 50 / Opérateur B, 60 / Opérateur C, 30</t>
  </si>
  <si>
    <r>
      <t xml:space="preserve">De plus, la durée de vie par catégorie d'équipements renseignée doit être la </t>
    </r>
    <r>
      <rPr>
        <b/>
        <sz val="10"/>
        <color theme="1"/>
        <rFont val="Calibri"/>
        <family val="2"/>
        <scheme val="minor"/>
      </rPr>
      <t>moyenne</t>
    </r>
    <r>
      <rPr>
        <sz val="10"/>
        <color theme="1"/>
        <rFont val="Calibri"/>
        <family val="2"/>
        <scheme val="minor"/>
      </rPr>
      <t xml:space="preserve"> des durées de vie de chaque type d'équipements, </t>
    </r>
    <r>
      <rPr>
        <b/>
        <sz val="10"/>
        <color theme="1"/>
        <rFont val="Calibri"/>
        <family val="2"/>
        <scheme val="minor"/>
      </rPr>
      <t>pondérées par le nombre d'équipements de chaque type</t>
    </r>
    <r>
      <rPr>
        <sz val="10"/>
        <color theme="1"/>
        <rFont val="Calibri"/>
        <family val="2"/>
        <scheme val="minor"/>
      </rPr>
      <t>. Idéalement, le détail du calcul doit être explicité dans les commentaires.</t>
    </r>
  </si>
  <si>
    <t xml:space="preserve">Les impacts environnementaux des équipements reconditionnés ne suivront pas la même méthodologie de calcul que les équipements neufs. A défaut de pouvoir modéliser les impacts environnementaux liés au reconditionnement de l'équipement, une fraction des impacts de la fabrication sera prise en compte (ratio à déterminer par l'ADEME). </t>
  </si>
  <si>
    <r>
      <t xml:space="preserve">Les impacts environnementaux renseignés dans l'onglet 'facteurs_impacts' doivent être issus des </t>
    </r>
    <r>
      <rPr>
        <b/>
        <sz val="10"/>
        <color theme="1"/>
        <rFont val="Calibri"/>
        <family val="2"/>
        <scheme val="minor"/>
      </rPr>
      <t>ACVs des équipementiers</t>
    </r>
    <r>
      <rPr>
        <sz val="10"/>
        <color theme="1"/>
        <rFont val="Calibri"/>
        <family val="2"/>
        <scheme val="minor"/>
      </rPr>
      <t xml:space="preserve">. Pour fluidifier le travail d'analyse qui sera fait par la suite, il est </t>
    </r>
    <r>
      <rPr>
        <b/>
        <sz val="10"/>
        <color theme="1"/>
        <rFont val="Calibri"/>
        <family val="2"/>
        <scheme val="minor"/>
      </rPr>
      <t>fortement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recommandé</t>
    </r>
    <r>
      <rPr>
        <sz val="10"/>
        <color theme="1"/>
        <rFont val="Calibri"/>
        <family val="2"/>
        <scheme val="minor"/>
      </rPr>
      <t xml:space="preserve"> de </t>
    </r>
    <r>
      <rPr>
        <b/>
        <sz val="10"/>
        <color theme="1"/>
        <rFont val="Calibri"/>
        <family val="2"/>
        <scheme val="minor"/>
      </rPr>
      <t>fournir le plus d'informations possibles</t>
    </r>
    <r>
      <rPr>
        <sz val="10"/>
        <color theme="1"/>
        <rFont val="Calibri"/>
        <family val="2"/>
        <scheme val="minor"/>
      </rPr>
      <t xml:space="preserve"> sur les ACV utilisées et les </t>
    </r>
    <r>
      <rPr>
        <b/>
        <sz val="10"/>
        <color theme="1"/>
        <rFont val="Calibri"/>
        <family val="2"/>
        <scheme val="minor"/>
      </rPr>
      <t>hypothèses de modélisation</t>
    </r>
    <r>
      <rPr>
        <sz val="10"/>
        <color theme="1"/>
        <rFont val="Calibri"/>
        <family val="2"/>
        <scheme val="minor"/>
      </rPr>
      <t xml:space="preserve"> (liste des équipements considérés, hypothèses de modélisation pour la phase de reconditionnement, etc.). Ces informations peuvent être données dans la colonne "Commentaires".</t>
    </r>
  </si>
  <si>
    <r>
      <t xml:space="preserve">  -   </t>
    </r>
    <r>
      <rPr>
        <b/>
        <sz val="10"/>
        <color theme="1"/>
        <rFont val="Calibri"/>
        <family val="2"/>
        <scheme val="minor"/>
      </rPr>
      <t>Reconditionnement</t>
    </r>
    <r>
      <rPr>
        <sz val="10"/>
        <color theme="1"/>
        <rFont val="Calibri"/>
        <family val="2"/>
        <scheme val="minor"/>
      </rPr>
      <t xml:space="preserve"> : aucune précision n'est donnée. Cette phase n'est à compléter que si l'opérateur est capable de fournir une estimation en termes d'impact environnementaux de la phase de reconditionnement de l'équipement.</t>
    </r>
  </si>
  <si>
    <r>
      <t xml:space="preserve">Exemple : On considère une box de type A ayant une durée de vie réelle de 3 ans et trois box de type B ayant une durée de vie réelle de 6 ans. Le calcul donne : (6x3 + 3x1)/4 = 5,25. La durée de vie moyenne renseignée pour cette ligne est de </t>
    </r>
    <r>
      <rPr>
        <u/>
        <sz val="10"/>
        <color theme="1"/>
        <rFont val="Calibri"/>
        <family val="2"/>
        <scheme val="minor"/>
      </rPr>
      <t>5,25 ans</t>
    </r>
    <r>
      <rPr>
        <sz val="10"/>
        <color theme="1"/>
        <rFont val="Calibri"/>
        <family val="2"/>
        <scheme val="minor"/>
      </rPr>
      <t>.</t>
    </r>
  </si>
  <si>
    <t>Site - Terrasse</t>
  </si>
  <si>
    <t>Site - Pylone</t>
  </si>
  <si>
    <t>Site hébergement réseau mobile ‐ Terrasse</t>
  </si>
  <si>
    <t>Site hébergement réseau mobile ‐ Pylone</t>
  </si>
  <si>
    <t>Fibre optique 4 brins</t>
  </si>
  <si>
    <t>Fibre optique 6 brins</t>
  </si>
  <si>
    <t>Fin de vie</t>
  </si>
  <si>
    <t>Masse de DEEE</t>
  </si>
  <si>
    <t>tonne</t>
  </si>
  <si>
    <t>Boucle locale cuivre</t>
  </si>
  <si>
    <t>Boucle locale fibre</t>
  </si>
  <si>
    <t>operateur2, 50 / operateur3, 60 / operateur1,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</si>
</sst>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4"/>
      <color rgb="FF009F79"/>
      <name val="Calibri"/>
      <family val="2"/>
      <scheme val="minor"/>
    </font>
    <font>
      <b/>
      <sz val="18"/>
      <color rgb="FF009F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7030A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ACBCD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175">
    <xf numFmtId="0" fontId="0" fillId="0" borderId="0" xfId="0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3" xfId="0" quotePrefix="1" applyFont="1" applyBorder="1"/>
    <xf numFmtId="0" fontId="4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0" fillId="0" borderId="8" xfId="0" applyBorder="1"/>
    <xf numFmtId="0" fontId="0" fillId="0" borderId="10" xfId="0" applyBorder="1"/>
    <xf numFmtId="0" fontId="2" fillId="0" borderId="0" xfId="0" quotePrefix="1" applyFont="1"/>
    <xf numFmtId="0" fontId="0" fillId="0" borderId="12" xfId="0" applyBorder="1"/>
    <xf numFmtId="0" fontId="0" fillId="0" borderId="13" xfId="0" applyBorder="1"/>
    <xf numFmtId="0" fontId="1" fillId="0" borderId="19" xfId="0" applyFont="1" applyBorder="1" applyAlignment="1">
      <alignment vertical="center" wrapText="1"/>
    </xf>
    <xf numFmtId="0" fontId="0" fillId="0" borderId="19" xfId="0" applyBorder="1"/>
    <xf numFmtId="0" fontId="0" fillId="0" borderId="20" xfId="0" applyBorder="1"/>
    <xf numFmtId="0" fontId="2" fillId="0" borderId="12" xfId="0" quotePrefix="1" applyFont="1" applyBorder="1"/>
    <xf numFmtId="0" fontId="2" fillId="0" borderId="4" xfId="0" quotePrefix="1" applyFont="1" applyBorder="1"/>
    <xf numFmtId="0" fontId="2" fillId="0" borderId="5" xfId="0" quotePrefix="1" applyFont="1" applyBorder="1"/>
    <xf numFmtId="0" fontId="0" fillId="0" borderId="0" xfId="0" quotePrefix="1"/>
    <xf numFmtId="0" fontId="4" fillId="3" borderId="2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0" xfId="0" applyFill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quotePrefix="1" applyFont="1"/>
    <xf numFmtId="0" fontId="11" fillId="3" borderId="7" xfId="0" applyFont="1" applyFill="1" applyBorder="1" applyAlignment="1">
      <alignment horizontal="center" vertical="center" wrapText="1"/>
    </xf>
    <xf numFmtId="0" fontId="10" fillId="0" borderId="30" xfId="0" applyFont="1" applyBorder="1"/>
    <xf numFmtId="0" fontId="10" fillId="0" borderId="30" xfId="0" applyFont="1" applyBorder="1" applyAlignment="1">
      <alignment horizontal="center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horizontal="left" wrapText="1"/>
    </xf>
    <xf numFmtId="0" fontId="0" fillId="0" borderId="30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/>
    <xf numFmtId="0" fontId="0" fillId="0" borderId="36" xfId="0" applyBorder="1"/>
    <xf numFmtId="0" fontId="0" fillId="0" borderId="37" xfId="0" applyBorder="1"/>
    <xf numFmtId="0" fontId="0" fillId="0" borderId="3" xfId="0" applyBorder="1"/>
    <xf numFmtId="0" fontId="0" fillId="0" borderId="4" xfId="0" applyBorder="1"/>
    <xf numFmtId="0" fontId="0" fillId="0" borderId="30" xfId="0" applyBorder="1" applyAlignment="1">
      <alignment horizontal="center"/>
    </xf>
    <xf numFmtId="0" fontId="2" fillId="0" borderId="36" xfId="0" quotePrefix="1" applyFont="1" applyBorder="1"/>
    <xf numFmtId="0" fontId="0" fillId="0" borderId="36" xfId="0" quotePrefix="1" applyBorder="1"/>
    <xf numFmtId="0" fontId="2" fillId="0" borderId="37" xfId="0" quotePrefix="1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23" xfId="0" applyBorder="1"/>
    <xf numFmtId="0" fontId="0" fillId="0" borderId="40" xfId="0" applyBorder="1"/>
    <xf numFmtId="0" fontId="0" fillId="0" borderId="23" xfId="0" applyBorder="1" applyAlignment="1">
      <alignment wrapText="1"/>
    </xf>
    <xf numFmtId="0" fontId="0" fillId="0" borderId="34" xfId="0" applyBorder="1"/>
    <xf numFmtId="0" fontId="0" fillId="0" borderId="44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2" fontId="4" fillId="3" borderId="1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25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0" borderId="30" xfId="0" applyFont="1" applyBorder="1" applyAlignment="1">
      <alignment horizontal="left" vertical="top" wrapText="1"/>
    </xf>
    <xf numFmtId="0" fontId="1" fillId="0" borderId="30" xfId="0" applyFont="1" applyBorder="1" applyAlignment="1">
      <alignment vertical="center" wrapText="1"/>
    </xf>
    <xf numFmtId="0" fontId="1" fillId="0" borderId="30" xfId="0" applyFont="1" applyBorder="1" applyAlignment="1">
      <alignment vertical="center"/>
    </xf>
    <xf numFmtId="0" fontId="1" fillId="0" borderId="24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0" fillId="0" borderId="45" xfId="0" applyBorder="1" applyAlignment="1">
      <alignment horizontal="center"/>
    </xf>
    <xf numFmtId="0" fontId="1" fillId="0" borderId="37" xfId="0" applyFont="1" applyBorder="1" applyAlignment="1">
      <alignment vertical="center" wrapText="1"/>
    </xf>
    <xf numFmtId="0" fontId="1" fillId="0" borderId="46" xfId="0" applyFont="1" applyBorder="1" applyAlignment="1">
      <alignment horizontal="left" vertical="top" wrapText="1"/>
    </xf>
    <xf numFmtId="0" fontId="0" fillId="0" borderId="0" xfId="1" applyNumberFormat="1" applyFont="1" applyBorder="1" applyAlignment="1">
      <alignment horizontal="center"/>
    </xf>
    <xf numFmtId="2" fontId="0" fillId="0" borderId="0" xfId="2" applyNumberFormat="1" applyFont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 wrapText="1"/>
    </xf>
    <xf numFmtId="0" fontId="0" fillId="2" borderId="12" xfId="0" applyFill="1" applyBorder="1"/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" fillId="0" borderId="4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5" fillId="0" borderId="43" xfId="0" applyFont="1" applyBorder="1" applyAlignment="1">
      <alignment vertical="center" wrapText="1"/>
    </xf>
    <xf numFmtId="0" fontId="18" fillId="0" borderId="23" xfId="0" applyFont="1" applyBorder="1" applyAlignment="1">
      <alignment vertical="center"/>
    </xf>
    <xf numFmtId="0" fontId="0" fillId="0" borderId="42" xfId="0" applyBorder="1" applyAlignment="1">
      <alignment wrapText="1"/>
    </xf>
    <xf numFmtId="0" fontId="0" fillId="0" borderId="33" xfId="0" applyBorder="1" applyAlignment="1">
      <alignment horizontal="center"/>
    </xf>
    <xf numFmtId="0" fontId="0" fillId="0" borderId="47" xfId="0" applyBorder="1"/>
    <xf numFmtId="0" fontId="0" fillId="2" borderId="33" xfId="0" applyFill="1" applyBorder="1" applyAlignment="1">
      <alignment horizontal="center"/>
    </xf>
    <xf numFmtId="11" fontId="0" fillId="0" borderId="0" xfId="0" applyNumberFormat="1"/>
    <xf numFmtId="0" fontId="16" fillId="0" borderId="0" xfId="0" applyFont="1"/>
    <xf numFmtId="2" fontId="16" fillId="0" borderId="0" xfId="0" applyNumberFormat="1" applyFont="1" applyAlignment="1">
      <alignment horizontal="center"/>
    </xf>
    <xf numFmtId="11" fontId="0" fillId="0" borderId="0" xfId="0" applyNumberFormat="1" applyAlignment="1">
      <alignment horizontal="center"/>
    </xf>
    <xf numFmtId="11" fontId="19" fillId="0" borderId="0" xfId="0" applyNumberFormat="1" applyFont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41" xfId="0" quotePrefix="1" applyBorder="1" applyAlignment="1">
      <alignment wrapText="1"/>
    </xf>
    <xf numFmtId="0" fontId="17" fillId="0" borderId="0" xfId="0" applyFont="1" applyAlignment="1">
      <alignment horizontal="center"/>
    </xf>
    <xf numFmtId="0" fontId="0" fillId="0" borderId="43" xfId="0" quotePrefix="1" applyBorder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0" fillId="0" borderId="0" xfId="0" applyNumberFormat="1" applyFont="1"/>
    <xf numFmtId="0" fontId="0" fillId="0" borderId="41" xfId="0" quotePrefix="1" applyBorder="1"/>
    <xf numFmtId="0" fontId="0" fillId="0" borderId="33" xfId="0" applyBorder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4" fillId="3" borderId="18" xfId="0" applyNumberFormat="1" applyFont="1" applyFill="1" applyBorder="1" applyAlignment="1">
      <alignment horizontal="center" vertical="center" wrapText="1"/>
    </xf>
    <xf numFmtId="11" fontId="0" fillId="0" borderId="32" xfId="0" applyNumberFormat="1" applyBorder="1" applyAlignment="1">
      <alignment horizontal="center"/>
    </xf>
    <xf numFmtId="11" fontId="0" fillId="0" borderId="32" xfId="1" applyNumberFormat="1" applyFont="1" applyFill="1" applyBorder="1" applyAlignment="1">
      <alignment horizontal="center"/>
    </xf>
    <xf numFmtId="1" fontId="0" fillId="0" borderId="0" xfId="1" applyNumberFormat="1" applyFont="1" applyFill="1" applyAlignment="1">
      <alignment horizontal="center"/>
    </xf>
    <xf numFmtId="11" fontId="0" fillId="0" borderId="0" xfId="1" applyNumberFormat="1" applyFont="1" applyAlignment="1">
      <alignment horizontal="center"/>
    </xf>
    <xf numFmtId="1" fontId="0" fillId="0" borderId="6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3" xfId="0" applyNumberFormat="1" applyBorder="1" applyAlignment="1">
      <alignment horizontal="center"/>
    </xf>
    <xf numFmtId="1" fontId="0" fillId="0" borderId="2" xfId="1" applyNumberFormat="1" applyFont="1" applyFill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20" fillId="0" borderId="0" xfId="0" applyFont="1" applyAlignment="1">
      <alignment horizontal="center"/>
    </xf>
    <xf numFmtId="0" fontId="10" fillId="0" borderId="0" xfId="0" quotePrefix="1" applyFont="1" applyAlignment="1">
      <alignment horizontal="left" wrapText="1"/>
    </xf>
    <xf numFmtId="0" fontId="10" fillId="0" borderId="0" xfId="0" applyFont="1" applyAlignment="1">
      <alignment horizontal="left" wrapText="1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009F79"/>
      <color rgb="FFACBCDF"/>
      <color rgb="FF748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28</xdr:row>
      <xdr:rowOff>165100</xdr:rowOff>
    </xdr:from>
    <xdr:to>
      <xdr:col>2</xdr:col>
      <xdr:colOff>0</xdr:colOff>
      <xdr:row>29</xdr:row>
      <xdr:rowOff>279400</xdr:rowOff>
    </xdr:to>
    <xdr:pic>
      <xdr:nvPicPr>
        <xdr:cNvPr id="3" name="Graphique 2" descr="Avertissement contour">
          <a:extLst>
            <a:ext uri="{FF2B5EF4-FFF2-40B4-BE49-F238E27FC236}">
              <a16:creationId xmlns:a16="http://schemas.microsoft.com/office/drawing/2014/main" id="{44E2D101-7041-D5CB-6F2E-38F7F1983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5300" y="4248150"/>
          <a:ext cx="298450" cy="298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CE87-2295-4223-922F-ADEEC998C463}">
  <dimension ref="B2:J87"/>
  <sheetViews>
    <sheetView showGridLines="0" topLeftCell="A25" zoomScale="90" zoomScaleNormal="90" workbookViewId="0">
      <selection activeCell="B48" sqref="B48:J48"/>
    </sheetView>
  </sheetViews>
  <sheetFormatPr baseColWidth="10" defaultRowHeight="14.5" x14ac:dyDescent="0.35"/>
  <cols>
    <col min="1" max="1" width="7" customWidth="1"/>
    <col min="2" max="2" width="4.453125" customWidth="1"/>
    <col min="3" max="3" width="27.453125" customWidth="1"/>
    <col min="4" max="4" width="8.1796875" customWidth="1"/>
    <col min="5" max="5" width="8" customWidth="1"/>
    <col min="6" max="6" width="42.54296875" customWidth="1"/>
  </cols>
  <sheetData>
    <row r="2" spans="2:2" ht="23.5" x14ac:dyDescent="0.55000000000000004">
      <c r="B2" s="38" t="s">
        <v>78</v>
      </c>
    </row>
    <row r="4" spans="2:2" x14ac:dyDescent="0.35">
      <c r="B4" s="39" t="s">
        <v>102</v>
      </c>
    </row>
    <row r="6" spans="2:2" ht="18.5" x14ac:dyDescent="0.45">
      <c r="B6" s="37" t="s">
        <v>95</v>
      </c>
    </row>
    <row r="7" spans="2:2" x14ac:dyDescent="0.35">
      <c r="B7" s="11"/>
    </row>
    <row r="8" spans="2:2" x14ac:dyDescent="0.35">
      <c r="B8" s="39" t="s">
        <v>116</v>
      </c>
    </row>
    <row r="9" spans="2:2" x14ac:dyDescent="0.35">
      <c r="B9" s="40" t="s">
        <v>117</v>
      </c>
    </row>
    <row r="10" spans="2:2" x14ac:dyDescent="0.35">
      <c r="B10" s="40" t="s">
        <v>118</v>
      </c>
    </row>
    <row r="11" spans="2:2" x14ac:dyDescent="0.35">
      <c r="B11" s="40" t="s">
        <v>120</v>
      </c>
    </row>
    <row r="12" spans="2:2" x14ac:dyDescent="0.35">
      <c r="B12" s="40" t="s">
        <v>119</v>
      </c>
    </row>
    <row r="13" spans="2:2" x14ac:dyDescent="0.35">
      <c r="B13" s="40" t="s">
        <v>132</v>
      </c>
    </row>
    <row r="14" spans="2:2" x14ac:dyDescent="0.35">
      <c r="B14" s="40" t="s">
        <v>131</v>
      </c>
    </row>
    <row r="15" spans="2:2" x14ac:dyDescent="0.35">
      <c r="B15" s="40"/>
    </row>
    <row r="16" spans="2:2" x14ac:dyDescent="0.35">
      <c r="B16" s="39" t="s">
        <v>103</v>
      </c>
    </row>
    <row r="18" spans="2:10" ht="18.5" x14ac:dyDescent="0.45">
      <c r="B18" s="37" t="s">
        <v>96</v>
      </c>
    </row>
    <row r="20" spans="2:10" x14ac:dyDescent="0.35">
      <c r="B20" s="39" t="s">
        <v>88</v>
      </c>
      <c r="C20" s="39"/>
    </row>
    <row r="21" spans="2:10" x14ac:dyDescent="0.35">
      <c r="B21" s="40" t="s">
        <v>86</v>
      </c>
      <c r="C21" s="39"/>
    </row>
    <row r="22" spans="2:10" x14ac:dyDescent="0.35">
      <c r="B22" s="39"/>
      <c r="C22" s="40" t="s">
        <v>97</v>
      </c>
    </row>
    <row r="23" spans="2:10" x14ac:dyDescent="0.35">
      <c r="B23" s="39"/>
      <c r="C23" s="40" t="s">
        <v>98</v>
      </c>
    </row>
    <row r="24" spans="2:10" x14ac:dyDescent="0.35">
      <c r="B24" s="39"/>
      <c r="C24" s="40" t="s">
        <v>99</v>
      </c>
    </row>
    <row r="25" spans="2:10" x14ac:dyDescent="0.35">
      <c r="B25" s="39"/>
      <c r="C25" s="39"/>
    </row>
    <row r="26" spans="2:10" x14ac:dyDescent="0.35">
      <c r="B26" s="40" t="s">
        <v>87</v>
      </c>
      <c r="C26" s="39"/>
    </row>
    <row r="27" spans="2:10" x14ac:dyDescent="0.35">
      <c r="B27" s="39"/>
      <c r="C27" s="40" t="s">
        <v>100</v>
      </c>
    </row>
    <row r="28" spans="2:10" x14ac:dyDescent="0.35">
      <c r="B28" s="39"/>
      <c r="C28" s="40" t="s">
        <v>101</v>
      </c>
    </row>
    <row r="29" spans="2:10" x14ac:dyDescent="0.35">
      <c r="B29" s="39"/>
      <c r="C29" s="39"/>
    </row>
    <row r="30" spans="2:10" ht="28" customHeight="1" x14ac:dyDescent="0.35">
      <c r="B30" s="39"/>
      <c r="C30" s="164" t="s">
        <v>105</v>
      </c>
      <c r="D30" s="164"/>
      <c r="E30" s="164"/>
      <c r="F30" s="164"/>
      <c r="G30" s="164"/>
      <c r="H30" s="164"/>
      <c r="I30" s="164"/>
      <c r="J30" s="164"/>
    </row>
    <row r="31" spans="2:10" x14ac:dyDescent="0.35">
      <c r="B31" s="39"/>
      <c r="C31" s="39"/>
    </row>
    <row r="32" spans="2:10" ht="18.5" x14ac:dyDescent="0.45">
      <c r="B32" s="37" t="s">
        <v>109</v>
      </c>
      <c r="C32" s="39"/>
    </row>
    <row r="33" spans="2:10" x14ac:dyDescent="0.35">
      <c r="B33" s="39"/>
      <c r="C33" s="39"/>
    </row>
    <row r="34" spans="2:10" x14ac:dyDescent="0.35">
      <c r="B34" s="39" t="s">
        <v>111</v>
      </c>
      <c r="C34" s="39"/>
    </row>
    <row r="35" spans="2:10" x14ac:dyDescent="0.35">
      <c r="B35" s="39"/>
      <c r="C35" s="39"/>
    </row>
    <row r="36" spans="2:10" ht="19" customHeight="1" x14ac:dyDescent="0.35">
      <c r="B36" s="44" t="s">
        <v>112</v>
      </c>
      <c r="C36" s="39"/>
    </row>
    <row r="37" spans="2:10" ht="26" x14ac:dyDescent="0.35">
      <c r="B37" s="39"/>
      <c r="C37" s="41" t="s">
        <v>14</v>
      </c>
      <c r="D37" s="41" t="s">
        <v>35</v>
      </c>
      <c r="E37" s="41" t="s">
        <v>34</v>
      </c>
      <c r="F37" s="41" t="s">
        <v>110</v>
      </c>
    </row>
    <row r="38" spans="2:10" x14ac:dyDescent="0.35">
      <c r="C38" s="42" t="s">
        <v>21</v>
      </c>
      <c r="D38" s="43" t="s">
        <v>47</v>
      </c>
      <c r="E38" s="42">
        <v>100</v>
      </c>
      <c r="F38" s="42" t="s">
        <v>140</v>
      </c>
    </row>
    <row r="39" spans="2:10" ht="18" customHeight="1" x14ac:dyDescent="0.35">
      <c r="B39" s="39" t="s">
        <v>114</v>
      </c>
      <c r="C39" s="39"/>
    </row>
    <row r="40" spans="2:10" x14ac:dyDescent="0.35">
      <c r="B40" s="39" t="s">
        <v>121</v>
      </c>
      <c r="C40" s="39"/>
    </row>
    <row r="41" spans="2:10" x14ac:dyDescent="0.35">
      <c r="B41" s="39"/>
      <c r="C41" s="39"/>
    </row>
    <row r="42" spans="2:10" ht="18.5" x14ac:dyDescent="0.45">
      <c r="B42" s="37" t="s">
        <v>122</v>
      </c>
      <c r="C42" s="39"/>
    </row>
    <row r="43" spans="2:10" ht="12.5" customHeight="1" x14ac:dyDescent="0.35">
      <c r="B43" s="39"/>
      <c r="C43" s="39"/>
    </row>
    <row r="44" spans="2:10" ht="28.5" customHeight="1" x14ac:dyDescent="0.35">
      <c r="B44" s="164" t="s">
        <v>123</v>
      </c>
      <c r="C44" s="164"/>
      <c r="D44" s="164"/>
      <c r="E44" s="164"/>
      <c r="F44" s="164"/>
      <c r="G44" s="164"/>
      <c r="H44" s="164"/>
      <c r="I44" s="164"/>
      <c r="J44" s="164"/>
    </row>
    <row r="45" spans="2:10" ht="28.5" customHeight="1" x14ac:dyDescent="0.35">
      <c r="B45" s="164" t="s">
        <v>127</v>
      </c>
      <c r="C45" s="164"/>
      <c r="D45" s="164"/>
      <c r="E45" s="164"/>
      <c r="F45" s="164"/>
      <c r="G45" s="164"/>
      <c r="H45" s="164"/>
      <c r="I45" s="164"/>
      <c r="J45" s="164"/>
    </row>
    <row r="46" spans="2:10" x14ac:dyDescent="0.35">
      <c r="B46" s="47"/>
      <c r="C46" s="47"/>
      <c r="D46" s="47"/>
      <c r="E46" s="47"/>
      <c r="F46" s="47"/>
      <c r="G46" s="47"/>
      <c r="H46" s="47"/>
      <c r="I46" s="47"/>
      <c r="J46" s="47"/>
    </row>
    <row r="47" spans="2:10" ht="27" customHeight="1" x14ac:dyDescent="0.35">
      <c r="B47" s="164" t="s">
        <v>141</v>
      </c>
      <c r="C47" s="164"/>
      <c r="D47" s="164"/>
      <c r="E47" s="164"/>
      <c r="F47" s="164"/>
      <c r="G47" s="164"/>
      <c r="H47" s="164"/>
      <c r="I47" s="164"/>
      <c r="J47" s="164"/>
    </row>
    <row r="48" spans="2:10" ht="27" customHeight="1" x14ac:dyDescent="0.35">
      <c r="B48" s="164" t="s">
        <v>145</v>
      </c>
      <c r="C48" s="164"/>
      <c r="D48" s="164"/>
      <c r="E48" s="164"/>
      <c r="F48" s="164"/>
      <c r="G48" s="164"/>
      <c r="H48" s="164"/>
      <c r="I48" s="164"/>
      <c r="J48" s="164"/>
    </row>
    <row r="49" spans="2:9" x14ac:dyDescent="0.35">
      <c r="B49" s="39"/>
      <c r="C49" s="39"/>
    </row>
    <row r="50" spans="2:9" ht="18.5" x14ac:dyDescent="0.45">
      <c r="B50" s="37" t="s">
        <v>85</v>
      </c>
      <c r="C50" s="39"/>
    </row>
    <row r="51" spans="2:9" x14ac:dyDescent="0.35">
      <c r="B51" s="39"/>
      <c r="C51" s="39"/>
    </row>
    <row r="52" spans="2:9" x14ac:dyDescent="0.35">
      <c r="B52" s="39" t="s">
        <v>104</v>
      </c>
      <c r="C52" s="39"/>
    </row>
    <row r="53" spans="2:9" x14ac:dyDescent="0.35">
      <c r="B53" s="39" t="s">
        <v>89</v>
      </c>
    </row>
    <row r="54" spans="2:9" x14ac:dyDescent="0.35">
      <c r="B54" s="39" t="s">
        <v>1</v>
      </c>
      <c r="C54" s="39" t="s">
        <v>84</v>
      </c>
      <c r="D54" s="39" t="s">
        <v>107</v>
      </c>
    </row>
    <row r="55" spans="2:9" x14ac:dyDescent="0.35">
      <c r="B55" s="39" t="s">
        <v>1</v>
      </c>
      <c r="C55" s="39" t="s">
        <v>83</v>
      </c>
      <c r="D55" s="39" t="s">
        <v>113</v>
      </c>
    </row>
    <row r="56" spans="2:9" x14ac:dyDescent="0.35">
      <c r="B56" s="39" t="s">
        <v>1</v>
      </c>
      <c r="C56" s="39" t="s">
        <v>82</v>
      </c>
      <c r="D56" s="39" t="s">
        <v>108</v>
      </c>
    </row>
    <row r="58" spans="2:9" ht="18.5" x14ac:dyDescent="0.45">
      <c r="B58" s="37" t="s">
        <v>124</v>
      </c>
    </row>
    <row r="60" spans="2:9" ht="40.5" customHeight="1" x14ac:dyDescent="0.35">
      <c r="B60" s="164" t="s">
        <v>142</v>
      </c>
      <c r="C60" s="164"/>
      <c r="D60" s="164"/>
      <c r="E60" s="164"/>
      <c r="F60" s="164"/>
      <c r="G60" s="164"/>
      <c r="H60" s="164"/>
      <c r="I60" s="164"/>
    </row>
    <row r="61" spans="2:9" x14ac:dyDescent="0.35">
      <c r="B61" s="39" t="s">
        <v>126</v>
      </c>
    </row>
    <row r="62" spans="2:9" x14ac:dyDescent="0.35">
      <c r="B62" s="39"/>
    </row>
    <row r="63" spans="2:9" x14ac:dyDescent="0.35">
      <c r="B63" s="44" t="s">
        <v>128</v>
      </c>
      <c r="C63" s="39"/>
    </row>
    <row r="64" spans="2:9" ht="23.5" customHeight="1" x14ac:dyDescent="0.35">
      <c r="B64" s="39"/>
      <c r="C64" s="41" t="s">
        <v>14</v>
      </c>
      <c r="D64" s="41" t="s">
        <v>35</v>
      </c>
      <c r="E64" s="41" t="s">
        <v>34</v>
      </c>
      <c r="F64" s="41" t="s">
        <v>125</v>
      </c>
    </row>
    <row r="65" spans="2:10" x14ac:dyDescent="0.35">
      <c r="C65" s="42" t="s">
        <v>21</v>
      </c>
      <c r="D65" s="43" t="s">
        <v>47</v>
      </c>
      <c r="E65" s="42">
        <v>100</v>
      </c>
      <c r="F65" s="42">
        <v>0.5</v>
      </c>
    </row>
    <row r="66" spans="2:10" x14ac:dyDescent="0.35">
      <c r="B66" s="39" t="s">
        <v>129</v>
      </c>
    </row>
    <row r="67" spans="2:10" x14ac:dyDescent="0.35">
      <c r="B67" s="39"/>
    </row>
    <row r="68" spans="2:10" ht="18.5" x14ac:dyDescent="0.45">
      <c r="B68" s="37" t="s">
        <v>130</v>
      </c>
    </row>
    <row r="69" spans="2:10" x14ac:dyDescent="0.35">
      <c r="B69" s="39"/>
    </row>
    <row r="70" spans="2:10" ht="40.5" customHeight="1" x14ac:dyDescent="0.35">
      <c r="B70" s="164" t="s">
        <v>143</v>
      </c>
      <c r="C70" s="164"/>
      <c r="D70" s="164"/>
      <c r="E70" s="164"/>
      <c r="F70" s="164"/>
      <c r="G70" s="164"/>
      <c r="H70" s="164"/>
      <c r="I70" s="164"/>
      <c r="J70" s="164"/>
    </row>
    <row r="71" spans="2:10" x14ac:dyDescent="0.35">
      <c r="B71" s="39" t="s">
        <v>139</v>
      </c>
    </row>
    <row r="72" spans="2:10" x14ac:dyDescent="0.35">
      <c r="B72" s="39"/>
    </row>
    <row r="73" spans="2:10" x14ac:dyDescent="0.35">
      <c r="B73" s="39" t="s">
        <v>135</v>
      </c>
      <c r="C73" s="39"/>
      <c r="D73" s="39"/>
      <c r="E73" s="39"/>
      <c r="F73" s="39"/>
      <c r="G73" s="39"/>
      <c r="H73" s="39"/>
      <c r="I73" s="39"/>
      <c r="J73" s="39"/>
    </row>
    <row r="74" spans="2:10" x14ac:dyDescent="0.35">
      <c r="B74" s="40" t="s">
        <v>134</v>
      </c>
      <c r="C74" s="39"/>
      <c r="D74" s="39"/>
      <c r="E74" s="39"/>
      <c r="F74" s="39"/>
      <c r="G74" s="39"/>
      <c r="H74" s="39"/>
      <c r="I74" s="39"/>
      <c r="J74" s="39"/>
    </row>
    <row r="75" spans="2:10" x14ac:dyDescent="0.35">
      <c r="B75" s="40" t="s">
        <v>136</v>
      </c>
      <c r="C75" s="39"/>
      <c r="D75" s="39"/>
      <c r="E75" s="39"/>
      <c r="F75" s="39"/>
      <c r="G75" s="39"/>
      <c r="H75" s="39"/>
      <c r="I75" s="39"/>
      <c r="J75" s="39"/>
    </row>
    <row r="76" spans="2:10" x14ac:dyDescent="0.35">
      <c r="B76" s="40" t="s">
        <v>137</v>
      </c>
      <c r="C76" s="39"/>
      <c r="D76" s="39"/>
      <c r="E76" s="39"/>
      <c r="F76" s="39"/>
      <c r="G76" s="39"/>
      <c r="H76" s="39"/>
      <c r="I76" s="39"/>
      <c r="J76" s="39"/>
    </row>
    <row r="77" spans="2:10" x14ac:dyDescent="0.35">
      <c r="B77" s="40" t="s">
        <v>138</v>
      </c>
      <c r="C77" s="39"/>
      <c r="D77" s="39"/>
      <c r="E77" s="39"/>
      <c r="F77" s="39"/>
      <c r="G77" s="39"/>
      <c r="H77" s="39"/>
      <c r="I77" s="39"/>
      <c r="J77" s="39"/>
    </row>
    <row r="78" spans="2:10" ht="26.5" customHeight="1" x14ac:dyDescent="0.35">
      <c r="B78" s="163" t="s">
        <v>144</v>
      </c>
      <c r="C78" s="163"/>
      <c r="D78" s="163"/>
      <c r="E78" s="163"/>
      <c r="F78" s="163"/>
      <c r="G78" s="163"/>
      <c r="H78" s="163"/>
      <c r="I78" s="163"/>
      <c r="J78" s="163"/>
    </row>
    <row r="79" spans="2:10" x14ac:dyDescent="0.35">
      <c r="B79" s="39"/>
      <c r="C79" s="39"/>
      <c r="D79" s="39"/>
      <c r="E79" s="39"/>
      <c r="F79" s="39"/>
      <c r="G79" s="39"/>
      <c r="H79" s="39"/>
      <c r="I79" s="39"/>
      <c r="J79" s="39"/>
    </row>
    <row r="80" spans="2:10" x14ac:dyDescent="0.35">
      <c r="B80" s="39"/>
      <c r="C80" s="39"/>
      <c r="D80" s="39"/>
      <c r="E80" s="39"/>
      <c r="F80" s="39"/>
      <c r="G80" s="39"/>
      <c r="H80" s="39"/>
      <c r="I80" s="39"/>
      <c r="J80" s="39"/>
    </row>
    <row r="81" spans="2:10" x14ac:dyDescent="0.35">
      <c r="B81" s="39"/>
      <c r="C81" s="39"/>
      <c r="D81" s="39"/>
      <c r="E81" s="39"/>
      <c r="F81" s="39"/>
      <c r="G81" s="39"/>
      <c r="H81" s="39"/>
      <c r="I81" s="39"/>
      <c r="J81" s="39"/>
    </row>
    <row r="82" spans="2:10" x14ac:dyDescent="0.35">
      <c r="B82" s="39"/>
      <c r="C82" s="39"/>
      <c r="D82" s="39"/>
      <c r="E82" s="39"/>
      <c r="F82" s="39"/>
      <c r="G82" s="39"/>
      <c r="H82" s="39"/>
      <c r="I82" s="39"/>
      <c r="J82" s="39"/>
    </row>
    <row r="83" spans="2:10" x14ac:dyDescent="0.35">
      <c r="B83" s="39"/>
      <c r="C83" s="39"/>
      <c r="D83" s="39"/>
      <c r="E83" s="39"/>
      <c r="F83" s="39"/>
      <c r="G83" s="39"/>
      <c r="H83" s="39"/>
      <c r="I83" s="39"/>
      <c r="J83" s="39"/>
    </row>
    <row r="84" spans="2:10" x14ac:dyDescent="0.35">
      <c r="B84" s="39"/>
      <c r="C84" s="39"/>
      <c r="D84" s="39"/>
      <c r="E84" s="39"/>
      <c r="F84" s="39"/>
      <c r="G84" s="39"/>
      <c r="H84" s="39"/>
      <c r="I84" s="39"/>
      <c r="J84" s="39"/>
    </row>
    <row r="85" spans="2:10" x14ac:dyDescent="0.35">
      <c r="B85" s="39"/>
      <c r="C85" s="39"/>
      <c r="D85" s="39"/>
      <c r="E85" s="39"/>
      <c r="F85" s="39"/>
      <c r="G85" s="39"/>
      <c r="H85" s="39"/>
      <c r="I85" s="39"/>
      <c r="J85" s="39"/>
    </row>
    <row r="86" spans="2:10" x14ac:dyDescent="0.35">
      <c r="B86" s="39"/>
      <c r="C86" s="39"/>
      <c r="D86" s="39"/>
      <c r="E86" s="39"/>
      <c r="F86" s="39"/>
      <c r="G86" s="39"/>
      <c r="H86" s="39"/>
      <c r="I86" s="39"/>
      <c r="J86" s="39"/>
    </row>
    <row r="87" spans="2:10" x14ac:dyDescent="0.35">
      <c r="B87" s="39"/>
      <c r="C87" s="39"/>
      <c r="D87" s="39"/>
      <c r="E87" s="39"/>
      <c r="F87" s="39"/>
      <c r="G87" s="39"/>
      <c r="H87" s="39"/>
      <c r="I87" s="39"/>
      <c r="J87" s="39"/>
    </row>
  </sheetData>
  <mergeCells count="8">
    <mergeCell ref="B78:J78"/>
    <mergeCell ref="B48:J48"/>
    <mergeCell ref="C30:J30"/>
    <mergeCell ref="B44:J44"/>
    <mergeCell ref="B60:I60"/>
    <mergeCell ref="B45:J45"/>
    <mergeCell ref="B47:J47"/>
    <mergeCell ref="B70:J70"/>
  </mergeCells>
  <phoneticPr fontId="1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7927-D31A-41D9-873A-2698AE599544}">
  <dimension ref="A1:Y126"/>
  <sheetViews>
    <sheetView zoomScale="50" zoomScaleNormal="5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26" sqref="P26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6" width="13.81640625" style="6" customWidth="1"/>
    <col min="7" max="7" width="26.54296875" customWidth="1"/>
    <col min="8" max="8" width="20.81640625" style="74" customWidth="1"/>
    <col min="9" max="9" width="38.81640625" customWidth="1"/>
    <col min="10" max="10" width="18" customWidth="1"/>
    <col min="11" max="11" width="37.54296875" customWidth="1"/>
    <col min="12" max="12" width="8.54296875" customWidth="1"/>
    <col min="13" max="13" width="14.08984375" style="6" customWidth="1"/>
    <col min="14" max="14" width="14.81640625" style="6" customWidth="1"/>
    <col min="15" max="15" width="27.453125" customWidth="1"/>
    <col min="16" max="16" width="21.08984375" customWidth="1"/>
    <col min="17" max="17" width="37.81640625" customWidth="1"/>
    <col min="18" max="18" width="16.1796875" customWidth="1"/>
    <col min="19" max="19" width="51.54296875" customWidth="1"/>
    <col min="20" max="20" width="9.1796875" customWidth="1"/>
    <col min="21" max="21" width="11.81640625" style="81" customWidth="1"/>
    <col min="22" max="22" width="11.81640625" style="6" customWidth="1"/>
    <col min="23" max="23" width="27.453125" customWidth="1"/>
    <col min="24" max="24" width="22.1796875" style="6" customWidth="1"/>
    <col min="25" max="25" width="41.81640625" customWidth="1"/>
  </cols>
  <sheetData>
    <row r="1" spans="1:25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7"/>
      <c r="J1" s="165" t="s">
        <v>19</v>
      </c>
      <c r="K1" s="166"/>
      <c r="L1" s="166"/>
      <c r="M1" s="166"/>
      <c r="N1" s="166"/>
      <c r="O1" s="166"/>
      <c r="P1" s="166"/>
      <c r="Q1" s="167"/>
      <c r="R1" s="165" t="s">
        <v>20</v>
      </c>
      <c r="S1" s="166"/>
      <c r="T1" s="166"/>
      <c r="U1" s="166"/>
      <c r="V1" s="166"/>
      <c r="W1" s="166"/>
      <c r="X1" s="166"/>
      <c r="Y1" s="167"/>
    </row>
    <row r="2" spans="1:25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79" t="s">
        <v>125</v>
      </c>
      <c r="I2" s="27" t="s">
        <v>17</v>
      </c>
      <c r="J2" s="28" t="str">
        <f t="shared" ref="J2:P2" si="0">B2</f>
        <v>Catégorie</v>
      </c>
      <c r="K2" s="29" t="str">
        <f t="shared" si="0"/>
        <v>Equipement</v>
      </c>
      <c r="L2" s="29" t="str">
        <f t="shared" si="0"/>
        <v>Unité</v>
      </c>
      <c r="M2" s="29" t="str">
        <f t="shared" si="0"/>
        <v>Quantité</v>
      </c>
      <c r="N2" s="29" t="str">
        <f t="shared" si="0"/>
        <v>Qualité de la donnée</v>
      </c>
      <c r="O2" s="29" t="str">
        <f t="shared" si="0"/>
        <v>Autres opérateurs utilisant les équipements et quelle quantité</v>
      </c>
      <c r="P2" s="29" t="str">
        <f t="shared" si="0"/>
        <v>Pourcentage de reconditionnement (%)</v>
      </c>
      <c r="Q2" s="29" t="str">
        <f t="shared" ref="Q2" si="1">I2</f>
        <v>Commentaire</v>
      </c>
      <c r="R2" s="121" t="str">
        <f t="shared" ref="R2:X2" si="2">B2</f>
        <v>Catégorie</v>
      </c>
      <c r="S2" s="25" t="str">
        <f t="shared" si="2"/>
        <v>Equipement</v>
      </c>
      <c r="T2" s="25" t="str">
        <f t="shared" si="2"/>
        <v>Unité</v>
      </c>
      <c r="U2" s="25" t="str">
        <f t="shared" si="2"/>
        <v>Quantité</v>
      </c>
      <c r="V2" s="25" t="str">
        <f t="shared" si="2"/>
        <v>Qualité de la donnée</v>
      </c>
      <c r="W2" s="25" t="str">
        <f t="shared" si="2"/>
        <v>Autres opérateurs utilisant les équipements et quelle quantité</v>
      </c>
      <c r="X2" s="25" t="str">
        <f t="shared" si="2"/>
        <v>Pourcentage de reconditionnement (%)</v>
      </c>
      <c r="Y2" s="25" t="str">
        <f t="shared" ref="Y2" si="3">I2</f>
        <v>Commentaire</v>
      </c>
    </row>
    <row r="3" spans="1:25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12">
        <v>50</v>
      </c>
      <c r="F3" s="12" t="s">
        <v>83</v>
      </c>
      <c r="G3" s="32"/>
      <c r="H3" s="12">
        <v>0.2</v>
      </c>
      <c r="I3" s="139"/>
      <c r="J3" s="94" t="s">
        <v>54</v>
      </c>
      <c r="K3" t="s">
        <v>38</v>
      </c>
      <c r="L3" s="52" t="s">
        <v>36</v>
      </c>
      <c r="M3" s="3">
        <v>100</v>
      </c>
      <c r="N3" s="3" t="s">
        <v>82</v>
      </c>
      <c r="O3" s="34"/>
      <c r="P3" s="3">
        <v>0.2</v>
      </c>
      <c r="Q3" s="66"/>
      <c r="R3" s="94" t="s">
        <v>51</v>
      </c>
      <c r="S3" s="12" t="s">
        <v>3</v>
      </c>
      <c r="T3" s="73" t="s">
        <v>47</v>
      </c>
      <c r="U3" s="86">
        <v>60</v>
      </c>
      <c r="V3" s="75" t="s">
        <v>84</v>
      </c>
      <c r="W3" s="32"/>
      <c r="X3" s="85">
        <v>0.5</v>
      </c>
      <c r="Y3" s="66"/>
    </row>
    <row r="4" spans="1:25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H4" s="111"/>
      <c r="I4" s="67"/>
      <c r="J4" s="95" t="s">
        <v>54</v>
      </c>
      <c r="K4" t="s">
        <v>39</v>
      </c>
      <c r="L4" s="53" t="s">
        <v>36</v>
      </c>
      <c r="M4">
        <v>50</v>
      </c>
      <c r="N4" t="s">
        <v>83</v>
      </c>
      <c r="O4" s="33"/>
      <c r="P4">
        <v>0</v>
      </c>
      <c r="Q4" s="67"/>
      <c r="R4" s="95" t="s">
        <v>51</v>
      </c>
      <c r="S4" t="s">
        <v>50</v>
      </c>
      <c r="T4" s="49" t="s">
        <v>47</v>
      </c>
      <c r="U4" s="83"/>
      <c r="W4" s="33"/>
      <c r="X4" s="81"/>
      <c r="Y4" s="67"/>
    </row>
    <row r="5" spans="1:25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H5" s="111"/>
      <c r="I5" s="129"/>
      <c r="J5" s="95" t="s">
        <v>54</v>
      </c>
      <c r="K5" t="s">
        <v>40</v>
      </c>
      <c r="L5" s="53" t="s">
        <v>36</v>
      </c>
      <c r="M5" s="156"/>
      <c r="O5" s="33"/>
      <c r="P5" s="81"/>
      <c r="Q5" s="67"/>
      <c r="R5" s="95" t="s">
        <v>51</v>
      </c>
      <c r="S5" t="s">
        <v>26</v>
      </c>
      <c r="T5" s="49" t="s">
        <v>47</v>
      </c>
      <c r="U5" s="83"/>
      <c r="W5" s="33"/>
      <c r="X5" s="81"/>
      <c r="Y5" s="67"/>
    </row>
    <row r="6" spans="1:25" ht="17.149999999999999" customHeight="1" x14ac:dyDescent="0.35">
      <c r="A6" s="169"/>
      <c r="B6" s="101" t="s">
        <v>51</v>
      </c>
      <c r="C6" t="s">
        <v>22</v>
      </c>
      <c r="D6" s="53" t="s">
        <v>47</v>
      </c>
      <c r="E6" s="105"/>
      <c r="G6" s="33"/>
      <c r="H6" s="106"/>
      <c r="I6" s="67"/>
      <c r="J6" s="95" t="s">
        <v>54</v>
      </c>
      <c r="K6" t="s">
        <v>41</v>
      </c>
      <c r="L6" s="53" t="s">
        <v>36</v>
      </c>
      <c r="M6" s="156"/>
      <c r="O6" s="33"/>
      <c r="P6" s="81"/>
      <c r="Q6" s="67"/>
      <c r="R6" s="95" t="s">
        <v>51</v>
      </c>
      <c r="S6" t="s">
        <v>4</v>
      </c>
      <c r="T6" s="49" t="s">
        <v>47</v>
      </c>
      <c r="U6" s="83"/>
      <c r="W6" s="33"/>
      <c r="X6" s="81"/>
      <c r="Y6" s="67"/>
    </row>
    <row r="7" spans="1:25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H7" s="106"/>
      <c r="I7" s="67"/>
      <c r="J7" s="95" t="s">
        <v>54</v>
      </c>
      <c r="K7" t="s">
        <v>42</v>
      </c>
      <c r="L7" s="53" t="s">
        <v>36</v>
      </c>
      <c r="M7" s="156"/>
      <c r="O7" s="33"/>
      <c r="P7" s="81"/>
      <c r="Q7" s="67"/>
      <c r="R7" s="95" t="s">
        <v>51</v>
      </c>
      <c r="S7" t="s">
        <v>5</v>
      </c>
      <c r="T7" s="49" t="s">
        <v>47</v>
      </c>
      <c r="U7" s="83"/>
      <c r="W7" s="33"/>
      <c r="X7" s="81"/>
      <c r="Y7" s="67"/>
    </row>
    <row r="8" spans="1:25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H8" s="106"/>
      <c r="I8" s="67"/>
      <c r="J8" s="95" t="s">
        <v>54</v>
      </c>
      <c r="K8" t="s">
        <v>43</v>
      </c>
      <c r="L8" s="53" t="s">
        <v>36</v>
      </c>
      <c r="M8" s="156"/>
      <c r="O8" s="33"/>
      <c r="P8" s="81"/>
      <c r="Q8" s="67"/>
      <c r="R8" s="95" t="s">
        <v>51</v>
      </c>
      <c r="S8" t="s">
        <v>6</v>
      </c>
      <c r="T8" s="49" t="s">
        <v>47</v>
      </c>
      <c r="U8" s="83"/>
      <c r="W8" s="33"/>
      <c r="X8" s="81"/>
      <c r="Y8" s="67"/>
    </row>
    <row r="9" spans="1:25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H9" s="111"/>
      <c r="I9" s="67"/>
      <c r="J9" s="95" t="s">
        <v>54</v>
      </c>
      <c r="K9" t="s">
        <v>44</v>
      </c>
      <c r="L9" s="53" t="s">
        <v>36</v>
      </c>
      <c r="M9" s="156"/>
      <c r="O9" s="33"/>
      <c r="P9" s="81"/>
      <c r="Q9" s="67"/>
      <c r="R9" s="95" t="s">
        <v>51</v>
      </c>
      <c r="S9" t="s">
        <v>7</v>
      </c>
      <c r="T9" s="49" t="s">
        <v>47</v>
      </c>
      <c r="U9" s="83"/>
      <c r="W9" s="33"/>
      <c r="X9" s="81"/>
      <c r="Y9" s="67"/>
    </row>
    <row r="10" spans="1:25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H10" s="111"/>
      <c r="I10" s="67"/>
      <c r="J10" s="95" t="s">
        <v>54</v>
      </c>
      <c r="K10" t="s">
        <v>45</v>
      </c>
      <c r="L10" s="53" t="s">
        <v>36</v>
      </c>
      <c r="M10" s="156"/>
      <c r="O10" s="33"/>
      <c r="P10" s="81"/>
      <c r="Q10" s="67"/>
      <c r="R10" s="96" t="s">
        <v>51</v>
      </c>
      <c r="S10" s="1" t="s">
        <v>8</v>
      </c>
      <c r="T10" s="51" t="s">
        <v>47</v>
      </c>
      <c r="U10" s="120"/>
      <c r="V10" s="77"/>
      <c r="W10" s="35"/>
      <c r="X10" s="84"/>
      <c r="Y10" s="68"/>
    </row>
    <row r="11" spans="1:25" ht="17.149999999999999" customHeight="1" x14ac:dyDescent="0.35">
      <c r="A11" s="169"/>
      <c r="B11" s="101" t="s">
        <v>51</v>
      </c>
      <c r="C11" t="s">
        <v>0</v>
      </c>
      <c r="D11" s="53" t="s">
        <v>36</v>
      </c>
      <c r="E11" s="136"/>
      <c r="G11" s="33"/>
      <c r="H11" s="111"/>
      <c r="I11" s="67"/>
      <c r="J11" s="95" t="s">
        <v>54</v>
      </c>
      <c r="K11" t="s">
        <v>46</v>
      </c>
      <c r="L11" s="55" t="s">
        <v>36</v>
      </c>
      <c r="M11" s="156"/>
      <c r="O11" s="33"/>
      <c r="P11" s="81"/>
      <c r="Q11" s="67"/>
      <c r="R11" s="97" t="s">
        <v>52</v>
      </c>
      <c r="S11" s="2" t="s">
        <v>10</v>
      </c>
      <c r="T11" s="54" t="s">
        <v>47</v>
      </c>
      <c r="U11" s="82"/>
      <c r="V11" s="76"/>
      <c r="W11" s="34"/>
      <c r="X11" s="82"/>
      <c r="Y11" s="69"/>
    </row>
    <row r="12" spans="1:25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E12" s="137"/>
      <c r="G12" s="33"/>
      <c r="H12" s="111"/>
      <c r="I12" s="67"/>
      <c r="J12" s="101" t="s">
        <v>92</v>
      </c>
      <c r="K12" s="48" t="s">
        <v>90</v>
      </c>
      <c r="L12" s="62" t="s">
        <v>91</v>
      </c>
      <c r="M12" s="154"/>
      <c r="N12" s="80"/>
      <c r="O12" s="36"/>
      <c r="P12" s="119"/>
      <c r="Q12" s="70" t="s">
        <v>94</v>
      </c>
      <c r="R12" s="98" t="s">
        <v>52</v>
      </c>
      <c r="S12" s="60" t="s">
        <v>9</v>
      </c>
      <c r="T12" s="49" t="s">
        <v>47</v>
      </c>
      <c r="U12" s="49"/>
      <c r="W12" s="33"/>
      <c r="X12" s="81"/>
      <c r="Y12" s="67"/>
    </row>
    <row r="13" spans="1:25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E13" s="137"/>
      <c r="G13" s="33"/>
      <c r="H13" s="111"/>
      <c r="I13" s="67"/>
      <c r="J13" s="96" t="s">
        <v>93</v>
      </c>
      <c r="K13" s="1" t="s">
        <v>90</v>
      </c>
      <c r="L13" s="55" t="s">
        <v>91</v>
      </c>
      <c r="M13" s="153"/>
      <c r="N13" s="77"/>
      <c r="O13" s="35"/>
      <c r="P13" s="84"/>
      <c r="Q13" s="68" t="s">
        <v>94</v>
      </c>
      <c r="R13" s="99" t="s">
        <v>52</v>
      </c>
      <c r="S13" s="61" t="s">
        <v>27</v>
      </c>
      <c r="T13" s="55" t="s">
        <v>47</v>
      </c>
      <c r="U13" s="84"/>
      <c r="V13" s="77"/>
      <c r="W13" s="35"/>
      <c r="X13" s="84"/>
      <c r="Y13" s="68"/>
    </row>
    <row r="14" spans="1:25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E14" s="137"/>
      <c r="G14" s="33"/>
      <c r="H14" s="111"/>
      <c r="I14" s="129"/>
      <c r="J14" s="101" t="s">
        <v>152</v>
      </c>
      <c r="K14" s="4" t="s">
        <v>153</v>
      </c>
      <c r="L14" s="62" t="s">
        <v>154</v>
      </c>
      <c r="M14" s="80"/>
      <c r="N14" s="4"/>
      <c r="O14" s="36"/>
      <c r="P14" s="130"/>
      <c r="Q14" s="131"/>
      <c r="R14" s="98" t="s">
        <v>53</v>
      </c>
      <c r="S14" s="60" t="s">
        <v>11</v>
      </c>
      <c r="T14" s="53" t="s">
        <v>47</v>
      </c>
      <c r="W14" s="33"/>
      <c r="X14" s="81"/>
      <c r="Y14" s="67"/>
    </row>
    <row r="15" spans="1:25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E15" s="137"/>
      <c r="G15" s="33"/>
      <c r="H15" s="111"/>
      <c r="I15" s="129"/>
      <c r="J15" s="142"/>
      <c r="L15" s="6"/>
      <c r="N15"/>
      <c r="O15" s="33"/>
      <c r="P15" s="6"/>
      <c r="R15" s="98" t="s">
        <v>53</v>
      </c>
      <c r="S15" s="60" t="s">
        <v>12</v>
      </c>
      <c r="T15" s="53" t="s">
        <v>47</v>
      </c>
      <c r="W15" s="33"/>
      <c r="X15" s="81"/>
      <c r="Y15" s="67"/>
    </row>
    <row r="16" spans="1:25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E16" s="137"/>
      <c r="G16" s="33"/>
      <c r="H16" s="111"/>
      <c r="I16" s="129"/>
      <c r="J16" s="142"/>
      <c r="L16" s="6"/>
      <c r="N16"/>
      <c r="O16" s="33"/>
      <c r="P16" s="6"/>
      <c r="R16" s="98" t="s">
        <v>53</v>
      </c>
      <c r="S16" s="60" t="s">
        <v>28</v>
      </c>
      <c r="T16" s="53" t="s">
        <v>47</v>
      </c>
      <c r="W16" s="33"/>
      <c r="X16" s="81"/>
      <c r="Y16" s="67"/>
    </row>
    <row r="17" spans="1:25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50"/>
      <c r="F17" s="76"/>
      <c r="G17" s="34"/>
      <c r="H17" s="112"/>
      <c r="I17" s="71"/>
      <c r="O17" s="33"/>
      <c r="R17" s="98" t="s">
        <v>53</v>
      </c>
      <c r="S17" s="60" t="s">
        <v>29</v>
      </c>
      <c r="T17" s="53" t="s">
        <v>47</v>
      </c>
      <c r="W17" s="33"/>
      <c r="X17" s="81"/>
      <c r="Y17" s="67"/>
    </row>
    <row r="18" spans="1:25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E18" s="51"/>
      <c r="G18" s="33"/>
      <c r="H18" s="111"/>
      <c r="I18" s="129"/>
      <c r="J18" s="17"/>
      <c r="O18" s="33"/>
      <c r="Q18" s="13"/>
      <c r="R18" s="98" t="s">
        <v>53</v>
      </c>
      <c r="S18" s="60" t="s">
        <v>30</v>
      </c>
      <c r="T18" s="53" t="s">
        <v>47</v>
      </c>
      <c r="W18" s="33"/>
      <c r="X18" s="81"/>
      <c r="Y18" s="67"/>
    </row>
    <row r="19" spans="1:25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F19" s="76"/>
      <c r="G19" s="34"/>
      <c r="H19" s="112"/>
      <c r="I19" s="71"/>
      <c r="J19" s="17"/>
      <c r="O19" s="33"/>
      <c r="Q19" s="13"/>
      <c r="R19" s="98" t="s">
        <v>53</v>
      </c>
      <c r="S19" s="60" t="s">
        <v>31</v>
      </c>
      <c r="T19" s="53" t="s">
        <v>47</v>
      </c>
      <c r="W19" s="33"/>
      <c r="X19" s="81"/>
      <c r="Y19" s="67"/>
    </row>
    <row r="20" spans="1:25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E20" s="138"/>
      <c r="F20" s="77"/>
      <c r="G20" s="35"/>
      <c r="H20" s="113"/>
      <c r="I20" s="141"/>
      <c r="J20" s="18"/>
      <c r="O20" s="33"/>
      <c r="R20" s="98" t="s">
        <v>53</v>
      </c>
      <c r="S20" s="60" t="s">
        <v>32</v>
      </c>
      <c r="T20" s="53" t="s">
        <v>47</v>
      </c>
      <c r="W20" s="33"/>
      <c r="X20" s="81"/>
      <c r="Y20" s="67"/>
    </row>
    <row r="21" spans="1:25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76"/>
      <c r="F21" s="76"/>
      <c r="G21" s="34"/>
      <c r="H21" s="112"/>
      <c r="I21" s="71" t="s">
        <v>106</v>
      </c>
      <c r="O21" s="33"/>
      <c r="R21" s="99" t="s">
        <v>53</v>
      </c>
      <c r="S21" s="61" t="s">
        <v>33</v>
      </c>
      <c r="T21" s="55" t="s">
        <v>47</v>
      </c>
      <c r="V21" s="77"/>
      <c r="W21" s="35"/>
      <c r="X21" s="84"/>
      <c r="Y21" s="68"/>
    </row>
    <row r="22" spans="1:25" ht="17.149999999999999" customHeight="1" x14ac:dyDescent="0.35">
      <c r="A22" s="169"/>
      <c r="B22" s="101" t="s">
        <v>13</v>
      </c>
      <c r="C22" s="8" t="s">
        <v>55</v>
      </c>
      <c r="D22" s="49" t="s">
        <v>57</v>
      </c>
      <c r="E22" s="49"/>
      <c r="G22" s="33"/>
      <c r="H22" s="111"/>
      <c r="I22" s="67"/>
      <c r="O22" s="33"/>
      <c r="R22" s="95" t="s">
        <v>74</v>
      </c>
      <c r="S22" t="s">
        <v>74</v>
      </c>
      <c r="T22" s="49" t="s">
        <v>47</v>
      </c>
      <c r="U22" s="122"/>
      <c r="W22" s="33"/>
      <c r="X22" s="81"/>
      <c r="Y22" s="67" t="s">
        <v>106</v>
      </c>
    </row>
    <row r="23" spans="1:25" ht="17.149999999999999" customHeight="1" x14ac:dyDescent="0.35">
      <c r="A23" s="169"/>
      <c r="B23" s="101" t="s">
        <v>13</v>
      </c>
      <c r="C23" s="21" t="s">
        <v>56</v>
      </c>
      <c r="D23" s="51" t="s">
        <v>58</v>
      </c>
      <c r="E23" s="49"/>
      <c r="F23" s="77"/>
      <c r="G23" s="35"/>
      <c r="H23" s="113"/>
      <c r="I23" s="68"/>
      <c r="O23" s="33"/>
      <c r="R23" s="95" t="s">
        <v>74</v>
      </c>
      <c r="S23" s="14" t="s">
        <v>75</v>
      </c>
      <c r="T23" s="49" t="s">
        <v>57</v>
      </c>
      <c r="U23" s="83"/>
      <c r="W23" s="33"/>
      <c r="X23" s="81"/>
      <c r="Y23" s="67"/>
    </row>
    <row r="24" spans="1:25" ht="17.149999999999999" customHeight="1" x14ac:dyDescent="0.35">
      <c r="A24" s="169"/>
      <c r="B24" s="101" t="s">
        <v>59</v>
      </c>
      <c r="C24" s="2" t="s">
        <v>59</v>
      </c>
      <c r="D24" s="50" t="s">
        <v>47</v>
      </c>
      <c r="E24" s="50"/>
      <c r="F24" s="76"/>
      <c r="G24" s="34"/>
      <c r="H24" s="112"/>
      <c r="I24" s="71" t="s">
        <v>106</v>
      </c>
      <c r="O24" s="33"/>
      <c r="R24" s="95" t="s">
        <v>74</v>
      </c>
      <c r="S24" s="14" t="s">
        <v>76</v>
      </c>
      <c r="T24" s="49" t="s">
        <v>58</v>
      </c>
      <c r="U24" s="83"/>
      <c r="W24" s="33"/>
      <c r="X24" s="81"/>
      <c r="Y24" s="67"/>
    </row>
    <row r="25" spans="1:25" ht="17.149999999999999" customHeight="1" x14ac:dyDescent="0.35">
      <c r="A25" s="169"/>
      <c r="B25" s="101" t="s">
        <v>59</v>
      </c>
      <c r="C25" s="8" t="s">
        <v>55</v>
      </c>
      <c r="D25" s="49" t="s">
        <v>57</v>
      </c>
      <c r="E25" s="49"/>
      <c r="G25" s="33"/>
      <c r="H25" s="111"/>
      <c r="I25" s="67"/>
      <c r="K25" s="133"/>
      <c r="O25" s="33"/>
      <c r="R25" s="95" t="s">
        <v>74</v>
      </c>
      <c r="S25" s="23" t="s">
        <v>81</v>
      </c>
      <c r="T25" s="49" t="s">
        <v>47</v>
      </c>
      <c r="U25" s="83"/>
      <c r="W25" s="33"/>
      <c r="X25" s="81"/>
      <c r="Y25" s="67"/>
    </row>
    <row r="26" spans="1:25" ht="17.149999999999999" customHeight="1" x14ac:dyDescent="0.35">
      <c r="A26" s="169"/>
      <c r="B26" s="101" t="s">
        <v>59</v>
      </c>
      <c r="C26" s="8" t="s">
        <v>56</v>
      </c>
      <c r="D26" s="49" t="s">
        <v>58</v>
      </c>
      <c r="E26" s="49"/>
      <c r="G26" s="33"/>
      <c r="H26" s="111"/>
      <c r="I26" s="67"/>
      <c r="O26" s="33"/>
      <c r="R26" s="95" t="s">
        <v>74</v>
      </c>
      <c r="S26" s="23" t="s">
        <v>64</v>
      </c>
      <c r="T26" s="49" t="s">
        <v>47</v>
      </c>
      <c r="U26" s="120"/>
      <c r="W26" s="33"/>
      <c r="X26" s="81"/>
      <c r="Y26" s="67"/>
    </row>
    <row r="27" spans="1:25" ht="17.149999999999999" customHeight="1" x14ac:dyDescent="0.35">
      <c r="A27" s="169"/>
      <c r="B27" s="101" t="s">
        <v>59</v>
      </c>
      <c r="C27" s="8" t="s">
        <v>60</v>
      </c>
      <c r="D27" s="49" t="s">
        <v>47</v>
      </c>
      <c r="E27" s="49"/>
      <c r="G27" s="33"/>
      <c r="H27" s="111"/>
      <c r="I27" s="67"/>
      <c r="J27" s="17"/>
      <c r="L27" s="6"/>
      <c r="O27" s="33"/>
      <c r="Q27" s="13"/>
      <c r="R27" s="100" t="s">
        <v>146</v>
      </c>
      <c r="S27" s="3" t="s">
        <v>148</v>
      </c>
      <c r="T27" s="50" t="s">
        <v>47</v>
      </c>
      <c r="U27" s="83"/>
      <c r="V27" s="76"/>
      <c r="W27" s="34"/>
      <c r="X27" s="82"/>
      <c r="Y27" s="69" t="s">
        <v>106</v>
      </c>
    </row>
    <row r="28" spans="1:25" ht="17.149999999999999" customHeight="1" x14ac:dyDescent="0.35">
      <c r="A28" s="169"/>
      <c r="B28" s="101" t="s">
        <v>59</v>
      </c>
      <c r="C28" s="8" t="s">
        <v>61</v>
      </c>
      <c r="D28" s="49" t="s">
        <v>47</v>
      </c>
      <c r="E28" s="49"/>
      <c r="G28" s="33"/>
      <c r="H28" s="111"/>
      <c r="I28" s="67"/>
      <c r="J28" s="17"/>
      <c r="O28" s="33"/>
      <c r="Q28" s="13"/>
      <c r="R28" s="95" t="s">
        <v>146</v>
      </c>
      <c r="S28" s="14" t="s">
        <v>75</v>
      </c>
      <c r="T28" s="49" t="s">
        <v>57</v>
      </c>
      <c r="U28" s="83"/>
      <c r="W28" s="33"/>
      <c r="X28" s="81"/>
      <c r="Y28" s="67"/>
    </row>
    <row r="29" spans="1:25" ht="17.149999999999999" customHeight="1" x14ac:dyDescent="0.35">
      <c r="A29" s="169"/>
      <c r="B29" s="101" t="s">
        <v>59</v>
      </c>
      <c r="C29" s="8" t="s">
        <v>62</v>
      </c>
      <c r="D29" s="49" t="s">
        <v>47</v>
      </c>
      <c r="E29" s="49"/>
      <c r="G29" s="33"/>
      <c r="H29" s="111"/>
      <c r="I29" s="67"/>
      <c r="J29" s="17"/>
      <c r="L29" s="6"/>
      <c r="O29" s="33"/>
      <c r="Q29" s="13"/>
      <c r="R29" s="96" t="s">
        <v>146</v>
      </c>
      <c r="S29" s="22" t="s">
        <v>76</v>
      </c>
      <c r="T29" s="51" t="s">
        <v>58</v>
      </c>
      <c r="U29" s="83"/>
      <c r="V29" s="77"/>
      <c r="W29" s="35"/>
      <c r="X29" s="84"/>
      <c r="Y29" s="68"/>
    </row>
    <row r="30" spans="1:25" ht="17.149999999999999" customHeight="1" x14ac:dyDescent="0.35">
      <c r="A30" s="169"/>
      <c r="B30" s="101" t="s">
        <v>59</v>
      </c>
      <c r="C30" s="8" t="s">
        <v>63</v>
      </c>
      <c r="D30" s="49" t="s">
        <v>47</v>
      </c>
      <c r="E30" s="49"/>
      <c r="G30" s="33"/>
      <c r="H30" s="111"/>
      <c r="I30" s="67"/>
      <c r="J30" s="17"/>
      <c r="L30" s="6"/>
      <c r="O30" s="33"/>
      <c r="Q30" s="13"/>
      <c r="R30" s="100" t="s">
        <v>147</v>
      </c>
      <c r="S30" s="3" t="s">
        <v>149</v>
      </c>
      <c r="T30" s="50" t="s">
        <v>47</v>
      </c>
      <c r="U30" s="122"/>
      <c r="V30" s="76"/>
      <c r="W30" s="34"/>
      <c r="X30" s="82"/>
      <c r="Y30" s="69" t="s">
        <v>106</v>
      </c>
    </row>
    <row r="31" spans="1:25" ht="14.5" customHeight="1" x14ac:dyDescent="0.35">
      <c r="A31" s="169"/>
      <c r="B31" s="101" t="s">
        <v>59</v>
      </c>
      <c r="C31" s="8" t="s">
        <v>64</v>
      </c>
      <c r="D31" s="49" t="s">
        <v>47</v>
      </c>
      <c r="E31" s="49"/>
      <c r="G31" s="33"/>
      <c r="H31" s="111"/>
      <c r="I31" s="67"/>
      <c r="J31" s="17"/>
      <c r="L31" s="6"/>
      <c r="O31" s="33"/>
      <c r="Q31" s="13"/>
      <c r="R31" s="95" t="s">
        <v>147</v>
      </c>
      <c r="S31" s="14" t="s">
        <v>75</v>
      </c>
      <c r="T31" s="49" t="s">
        <v>57</v>
      </c>
      <c r="U31" s="83"/>
      <c r="W31" s="33"/>
      <c r="X31" s="81"/>
      <c r="Y31" s="67"/>
    </row>
    <row r="32" spans="1:25" ht="17.149999999999999" customHeight="1" x14ac:dyDescent="0.35">
      <c r="A32" s="169"/>
      <c r="B32" s="101" t="s">
        <v>59</v>
      </c>
      <c r="C32" s="8" t="s">
        <v>65</v>
      </c>
      <c r="D32" s="49" t="s">
        <v>47</v>
      </c>
      <c r="E32" s="49"/>
      <c r="G32" s="33"/>
      <c r="H32" s="111"/>
      <c r="I32" s="67"/>
      <c r="J32" s="17"/>
      <c r="O32" s="33"/>
      <c r="Q32" s="13"/>
      <c r="R32" s="96" t="s">
        <v>147</v>
      </c>
      <c r="S32" s="22" t="s">
        <v>76</v>
      </c>
      <c r="T32" s="51" t="s">
        <v>58</v>
      </c>
      <c r="U32" s="120"/>
      <c r="V32" s="77"/>
      <c r="W32" s="35"/>
      <c r="X32" s="84"/>
      <c r="Y32" s="68"/>
    </row>
    <row r="33" spans="1:25" ht="14.5" customHeight="1" x14ac:dyDescent="0.35">
      <c r="A33" s="169"/>
      <c r="B33" s="101" t="s">
        <v>59</v>
      </c>
      <c r="C33" s="8" t="s">
        <v>66</v>
      </c>
      <c r="D33" s="49" t="s">
        <v>47</v>
      </c>
      <c r="E33" s="49"/>
      <c r="G33" s="33"/>
      <c r="H33" s="111"/>
      <c r="I33" s="67"/>
      <c r="J33" s="17"/>
      <c r="O33" s="33"/>
      <c r="Q33" s="13"/>
      <c r="W33" s="33"/>
    </row>
    <row r="34" spans="1:25" ht="17.149999999999999" customHeight="1" x14ac:dyDescent="0.35">
      <c r="A34" s="169"/>
      <c r="B34" s="101" t="s">
        <v>59</v>
      </c>
      <c r="C34" s="21" t="s">
        <v>67</v>
      </c>
      <c r="D34" s="51" t="s">
        <v>47</v>
      </c>
      <c r="E34" s="51"/>
      <c r="F34" s="77"/>
      <c r="G34" s="35"/>
      <c r="H34" s="113"/>
      <c r="I34" s="68"/>
      <c r="J34" s="18"/>
      <c r="O34" s="33"/>
      <c r="Q34" s="13"/>
      <c r="W34" s="33"/>
    </row>
    <row r="35" spans="1:25" ht="17.149999999999999" customHeight="1" x14ac:dyDescent="0.35">
      <c r="A35" s="169"/>
      <c r="B35" s="101" t="s">
        <v>68</v>
      </c>
      <c r="C35" t="s">
        <v>69</v>
      </c>
      <c r="D35" s="49" t="s">
        <v>47</v>
      </c>
      <c r="E35" s="49"/>
      <c r="G35" s="33"/>
      <c r="H35" s="111"/>
      <c r="I35" s="71" t="s">
        <v>106</v>
      </c>
      <c r="J35" s="18"/>
      <c r="O35" s="33"/>
      <c r="Q35" s="13"/>
      <c r="W35" s="33"/>
    </row>
    <row r="36" spans="1:25" ht="17.149999999999999" customHeight="1" x14ac:dyDescent="0.35">
      <c r="A36" s="169"/>
      <c r="B36" s="101" t="s">
        <v>68</v>
      </c>
      <c r="C36" s="14" t="s">
        <v>55</v>
      </c>
      <c r="D36" s="49" t="s">
        <v>57</v>
      </c>
      <c r="E36" s="49"/>
      <c r="G36" s="33"/>
      <c r="H36" s="111"/>
      <c r="I36" s="67"/>
      <c r="J36" s="18"/>
      <c r="O36" s="33"/>
      <c r="Q36" s="13"/>
      <c r="W36" s="33"/>
    </row>
    <row r="37" spans="1:25" ht="17.149999999999999" customHeight="1" x14ac:dyDescent="0.35">
      <c r="A37" s="169"/>
      <c r="B37" s="101" t="s">
        <v>68</v>
      </c>
      <c r="C37" s="14" t="s">
        <v>56</v>
      </c>
      <c r="D37" s="49" t="s">
        <v>58</v>
      </c>
      <c r="E37" s="49"/>
      <c r="G37" s="33"/>
      <c r="H37" s="111"/>
      <c r="I37" s="67"/>
      <c r="J37" s="18"/>
      <c r="O37" s="33"/>
      <c r="Q37" s="13"/>
      <c r="R37" s="18"/>
      <c r="W37" s="33"/>
      <c r="Y37" s="13"/>
    </row>
    <row r="38" spans="1:25" ht="17.149999999999999" customHeight="1" x14ac:dyDescent="0.35">
      <c r="A38" s="169"/>
      <c r="B38" s="101" t="s">
        <v>68</v>
      </c>
      <c r="C38" s="14" t="s">
        <v>60</v>
      </c>
      <c r="D38" s="49" t="s">
        <v>47</v>
      </c>
      <c r="E38" s="49"/>
      <c r="G38" s="33"/>
      <c r="H38" s="111"/>
      <c r="I38" s="67"/>
      <c r="J38" s="18"/>
      <c r="O38" s="33"/>
      <c r="Q38" s="13"/>
      <c r="R38" s="18"/>
      <c r="W38" s="33"/>
      <c r="Y38" s="13"/>
    </row>
    <row r="39" spans="1:25" ht="17.149999999999999" customHeight="1" x14ac:dyDescent="0.35">
      <c r="A39" s="169"/>
      <c r="B39" s="101" t="s">
        <v>68</v>
      </c>
      <c r="C39" s="14" t="s">
        <v>77</v>
      </c>
      <c r="D39" s="49" t="s">
        <v>47</v>
      </c>
      <c r="E39" s="49"/>
      <c r="G39" s="33"/>
      <c r="H39" s="111"/>
      <c r="I39" s="67"/>
      <c r="J39" s="18"/>
      <c r="O39" s="33"/>
      <c r="Q39" s="13"/>
      <c r="R39" s="18"/>
      <c r="W39" s="33"/>
      <c r="Y39" s="13"/>
    </row>
    <row r="40" spans="1:25" ht="17.149999999999999" customHeight="1" x14ac:dyDescent="0.35">
      <c r="A40" s="169"/>
      <c r="B40" s="101" t="s">
        <v>68</v>
      </c>
      <c r="C40" s="14" t="s">
        <v>62</v>
      </c>
      <c r="D40" s="49" t="s">
        <v>47</v>
      </c>
      <c r="E40" s="49"/>
      <c r="G40" s="33"/>
      <c r="H40" s="111"/>
      <c r="I40" s="67"/>
      <c r="J40" s="18"/>
      <c r="O40" s="33"/>
      <c r="Q40" s="13"/>
      <c r="R40" s="18"/>
      <c r="W40" s="33"/>
      <c r="Y40" s="13"/>
    </row>
    <row r="41" spans="1:25" ht="17.149999999999999" customHeight="1" x14ac:dyDescent="0.35">
      <c r="A41" s="169"/>
      <c r="B41" s="101" t="s">
        <v>68</v>
      </c>
      <c r="C41" s="14" t="s">
        <v>63</v>
      </c>
      <c r="D41" s="49" t="s">
        <v>47</v>
      </c>
      <c r="E41" s="49"/>
      <c r="G41" s="33"/>
      <c r="H41" s="111"/>
      <c r="I41" s="67"/>
      <c r="J41" s="18"/>
      <c r="O41" s="33"/>
      <c r="Q41" s="13"/>
      <c r="R41" s="18"/>
      <c r="W41" s="33"/>
      <c r="Y41" s="13"/>
    </row>
    <row r="42" spans="1:25" ht="17.149999999999999" customHeight="1" x14ac:dyDescent="0.35">
      <c r="A42" s="169"/>
      <c r="B42" s="101" t="s">
        <v>68</v>
      </c>
      <c r="C42" s="14" t="s">
        <v>64</v>
      </c>
      <c r="D42" s="49" t="s">
        <v>47</v>
      </c>
      <c r="E42" s="49"/>
      <c r="G42" s="33"/>
      <c r="H42" s="111"/>
      <c r="I42" s="67"/>
      <c r="J42" s="18"/>
      <c r="O42" s="33"/>
      <c r="Q42" s="13"/>
      <c r="R42" s="18"/>
      <c r="W42" s="33"/>
      <c r="Y42" s="13"/>
    </row>
    <row r="43" spans="1:25" ht="17.149999999999999" customHeight="1" x14ac:dyDescent="0.35">
      <c r="A43" s="169"/>
      <c r="B43" s="101" t="s">
        <v>68</v>
      </c>
      <c r="C43" s="14" t="s">
        <v>65</v>
      </c>
      <c r="D43" s="49" t="s">
        <v>47</v>
      </c>
      <c r="E43" s="49"/>
      <c r="G43" s="33"/>
      <c r="H43" s="111"/>
      <c r="I43" s="67"/>
      <c r="J43" s="18"/>
      <c r="O43" s="33"/>
      <c r="Q43" s="13"/>
      <c r="R43" s="18"/>
      <c r="T43" s="6"/>
      <c r="W43" s="33"/>
      <c r="Y43" s="13"/>
    </row>
    <row r="44" spans="1:25" ht="17.149999999999999" customHeight="1" x14ac:dyDescent="0.35">
      <c r="A44" s="169"/>
      <c r="B44" s="101" t="s">
        <v>68</v>
      </c>
      <c r="C44" s="14" t="s">
        <v>66</v>
      </c>
      <c r="D44" s="49" t="s">
        <v>47</v>
      </c>
      <c r="E44" s="49"/>
      <c r="G44" s="33"/>
      <c r="H44" s="111"/>
      <c r="I44" s="67"/>
      <c r="J44" s="18"/>
      <c r="O44" s="33"/>
      <c r="Q44" s="13"/>
      <c r="R44" s="18"/>
      <c r="T44" s="6"/>
      <c r="W44" s="33"/>
      <c r="Y44" s="13"/>
    </row>
    <row r="45" spans="1:25" ht="17.149999999999999" customHeight="1" x14ac:dyDescent="0.35">
      <c r="A45" s="169"/>
      <c r="B45" s="101" t="s">
        <v>68</v>
      </c>
      <c r="C45" s="14" t="s">
        <v>67</v>
      </c>
      <c r="D45" s="49" t="s">
        <v>47</v>
      </c>
      <c r="E45" s="49"/>
      <c r="G45" s="33"/>
      <c r="H45" s="111"/>
      <c r="I45" s="67"/>
      <c r="J45" s="18"/>
      <c r="O45" s="33"/>
      <c r="Q45" s="13"/>
      <c r="R45" s="18"/>
      <c r="T45" s="6"/>
      <c r="W45" s="33"/>
      <c r="Y45" s="13"/>
    </row>
    <row r="46" spans="1:25" ht="14.5" customHeight="1" x14ac:dyDescent="0.35">
      <c r="A46" s="169"/>
      <c r="B46" s="101" t="s">
        <v>68</v>
      </c>
      <c r="C46" s="14" t="s">
        <v>70</v>
      </c>
      <c r="D46" s="49" t="s">
        <v>47</v>
      </c>
      <c r="E46" s="49"/>
      <c r="G46" s="33"/>
      <c r="H46" s="111"/>
      <c r="I46" s="67"/>
      <c r="J46" s="18"/>
      <c r="O46" s="33"/>
      <c r="Q46" s="13"/>
      <c r="R46" s="18"/>
      <c r="T46" s="6"/>
      <c r="W46" s="33"/>
      <c r="Y46" s="13"/>
    </row>
    <row r="47" spans="1:25" ht="17.149999999999999" customHeight="1" x14ac:dyDescent="0.35">
      <c r="A47" s="169"/>
      <c r="B47" s="101" t="s">
        <v>68</v>
      </c>
      <c r="C47" s="14" t="s">
        <v>71</v>
      </c>
      <c r="D47" s="49" t="s">
        <v>47</v>
      </c>
      <c r="E47" s="49"/>
      <c r="G47" s="33"/>
      <c r="H47" s="111"/>
      <c r="I47" s="67"/>
      <c r="J47" s="18"/>
      <c r="O47" s="33"/>
      <c r="Q47" s="13"/>
      <c r="R47" s="18"/>
      <c r="T47" s="6"/>
      <c r="W47" s="33"/>
      <c r="Y47" s="13"/>
    </row>
    <row r="48" spans="1:25" ht="17.149999999999999" customHeight="1" x14ac:dyDescent="0.35">
      <c r="A48" s="169"/>
      <c r="B48" s="101" t="s">
        <v>68</v>
      </c>
      <c r="C48" s="14" t="s">
        <v>72</v>
      </c>
      <c r="D48" s="49" t="s">
        <v>36</v>
      </c>
      <c r="E48" s="49"/>
      <c r="G48" s="33"/>
      <c r="H48" s="111"/>
      <c r="I48" s="67"/>
      <c r="J48" s="18"/>
      <c r="O48" s="33"/>
      <c r="Q48" s="13"/>
      <c r="R48" s="18"/>
      <c r="W48" s="33"/>
      <c r="Y48" s="13"/>
    </row>
    <row r="49" spans="1:25" ht="17.149999999999999" customHeight="1" thickBot="1" x14ac:dyDescent="0.4">
      <c r="A49" s="170"/>
      <c r="B49" s="108" t="s">
        <v>68</v>
      </c>
      <c r="C49" s="20" t="s">
        <v>73</v>
      </c>
      <c r="D49" s="102" t="s">
        <v>36</v>
      </c>
      <c r="E49" s="102"/>
      <c r="F49" s="78"/>
      <c r="G49" s="109"/>
      <c r="H49" s="114"/>
      <c r="I49" s="72"/>
      <c r="J49" s="18"/>
      <c r="O49" s="33"/>
      <c r="Q49" s="13"/>
      <c r="R49" s="19"/>
      <c r="S49" s="15"/>
      <c r="T49" s="15"/>
      <c r="U49" s="87"/>
      <c r="V49" s="78"/>
      <c r="W49" s="109"/>
      <c r="X49" s="78"/>
      <c r="Y49" s="16"/>
    </row>
    <row r="50" spans="1:25" ht="14.5" customHeight="1" x14ac:dyDescent="0.35">
      <c r="A50" s="168" t="s">
        <v>80</v>
      </c>
      <c r="B50" s="115" t="s">
        <v>51</v>
      </c>
      <c r="C50" s="12" t="s">
        <v>115</v>
      </c>
      <c r="D50" s="73" t="s">
        <v>47</v>
      </c>
      <c r="E50" s="12">
        <v>100</v>
      </c>
      <c r="F50" s="12" t="s">
        <v>84</v>
      </c>
      <c r="G50" s="12" t="s">
        <v>157</v>
      </c>
      <c r="H50" s="12">
        <v>0</v>
      </c>
      <c r="I50" s="66"/>
      <c r="J50" s="89" t="s">
        <v>54</v>
      </c>
      <c r="K50" s="12" t="s">
        <v>38</v>
      </c>
      <c r="L50" s="52" t="s">
        <v>36</v>
      </c>
      <c r="M50" s="12">
        <v>100</v>
      </c>
      <c r="N50" s="12" t="s">
        <v>84</v>
      </c>
      <c r="O50" s="12" t="s">
        <v>157</v>
      </c>
      <c r="P50" s="12">
        <v>0.2</v>
      </c>
      <c r="Q50" s="66"/>
      <c r="R50" s="94" t="s">
        <v>51</v>
      </c>
      <c r="S50" s="12" t="s">
        <v>3</v>
      </c>
      <c r="T50" s="52" t="s">
        <v>47</v>
      </c>
      <c r="U50" s="85">
        <v>200</v>
      </c>
      <c r="V50" s="75" t="s">
        <v>83</v>
      </c>
      <c r="W50" s="12" t="s">
        <v>157</v>
      </c>
      <c r="X50" s="75">
        <v>0.1</v>
      </c>
      <c r="Y50" s="66"/>
    </row>
    <row r="51" spans="1:25" ht="14.5" customHeight="1" x14ac:dyDescent="0.35">
      <c r="A51" s="169"/>
      <c r="B51" s="116" t="s">
        <v>51</v>
      </c>
      <c r="C51" t="s">
        <v>48</v>
      </c>
      <c r="D51" s="49" t="s">
        <v>47</v>
      </c>
      <c r="E51" s="49"/>
      <c r="H51" s="111"/>
      <c r="I51" s="67"/>
      <c r="J51" s="88" t="s">
        <v>54</v>
      </c>
      <c r="K51" t="s">
        <v>39</v>
      </c>
      <c r="L51" s="53" t="s">
        <v>36</v>
      </c>
      <c r="M51" s="6">
        <v>0</v>
      </c>
      <c r="P51" s="6">
        <v>0</v>
      </c>
      <c r="Q51" s="67"/>
      <c r="R51" s="95" t="s">
        <v>51</v>
      </c>
      <c r="S51" t="s">
        <v>50</v>
      </c>
      <c r="T51" s="53" t="s">
        <v>47</v>
      </c>
      <c r="Y51" s="67"/>
    </row>
    <row r="52" spans="1:25" ht="14.5" customHeight="1" x14ac:dyDescent="0.35">
      <c r="A52" s="169"/>
      <c r="B52" s="116" t="s">
        <v>51</v>
      </c>
      <c r="C52" t="s">
        <v>49</v>
      </c>
      <c r="D52" s="49" t="s">
        <v>47</v>
      </c>
      <c r="E52" s="49"/>
      <c r="H52" s="111"/>
      <c r="I52" s="67"/>
      <c r="J52" s="88" t="s">
        <v>54</v>
      </c>
      <c r="K52" t="s">
        <v>40</v>
      </c>
      <c r="L52" s="53" t="s">
        <v>36</v>
      </c>
      <c r="M52" s="6">
        <v>0</v>
      </c>
      <c r="P52" s="6">
        <v>0</v>
      </c>
      <c r="Q52" s="67"/>
      <c r="R52" s="95" t="s">
        <v>51</v>
      </c>
      <c r="S52" t="s">
        <v>26</v>
      </c>
      <c r="T52" s="53" t="s">
        <v>47</v>
      </c>
      <c r="Y52" s="67"/>
    </row>
    <row r="53" spans="1:25" ht="14.5" customHeight="1" x14ac:dyDescent="0.35">
      <c r="A53" s="169"/>
      <c r="B53" s="116" t="s">
        <v>51</v>
      </c>
      <c r="C53" t="s">
        <v>22</v>
      </c>
      <c r="D53" s="49" t="s">
        <v>47</v>
      </c>
      <c r="E53" s="49"/>
      <c r="H53" s="111"/>
      <c r="I53" s="67"/>
      <c r="J53" s="88" t="s">
        <v>54</v>
      </c>
      <c r="K53" t="s">
        <v>41</v>
      </c>
      <c r="L53" s="53" t="s">
        <v>36</v>
      </c>
      <c r="M53" s="6">
        <v>0</v>
      </c>
      <c r="P53" s="6">
        <v>0</v>
      </c>
      <c r="Q53" s="67"/>
      <c r="R53" s="95" t="s">
        <v>51</v>
      </c>
      <c r="S53" t="s">
        <v>4</v>
      </c>
      <c r="T53" s="53" t="s">
        <v>47</v>
      </c>
      <c r="Y53" s="67"/>
    </row>
    <row r="54" spans="1:25" ht="14.5" customHeight="1" x14ac:dyDescent="0.35">
      <c r="A54" s="169"/>
      <c r="B54" s="116" t="s">
        <v>51</v>
      </c>
      <c r="C54" t="s">
        <v>23</v>
      </c>
      <c r="D54" s="49" t="s">
        <v>47</v>
      </c>
      <c r="E54" s="49"/>
      <c r="H54" s="111"/>
      <c r="I54" s="67"/>
      <c r="J54" s="88" t="s">
        <v>54</v>
      </c>
      <c r="K54" t="s">
        <v>42</v>
      </c>
      <c r="L54" s="53" t="s">
        <v>36</v>
      </c>
      <c r="M54" s="6">
        <v>0</v>
      </c>
      <c r="P54" s="6">
        <v>0</v>
      </c>
      <c r="Q54" s="67"/>
      <c r="R54" s="95" t="s">
        <v>51</v>
      </c>
      <c r="S54" t="s">
        <v>5</v>
      </c>
      <c r="T54" s="53" t="s">
        <v>47</v>
      </c>
      <c r="Y54" s="67"/>
    </row>
    <row r="55" spans="1:25" ht="14.5" customHeight="1" x14ac:dyDescent="0.35">
      <c r="A55" s="169"/>
      <c r="B55" s="116" t="s">
        <v>51</v>
      </c>
      <c r="C55" t="s">
        <v>2</v>
      </c>
      <c r="D55" s="49" t="s">
        <v>47</v>
      </c>
      <c r="E55" s="49"/>
      <c r="H55" s="111"/>
      <c r="I55" s="67"/>
      <c r="J55" s="88" t="s">
        <v>54</v>
      </c>
      <c r="K55" t="s">
        <v>43</v>
      </c>
      <c r="L55" s="53" t="s">
        <v>36</v>
      </c>
      <c r="M55" s="6">
        <v>0</v>
      </c>
      <c r="P55" s="6">
        <v>0</v>
      </c>
      <c r="Q55" s="67"/>
      <c r="R55" s="95" t="s">
        <v>51</v>
      </c>
      <c r="S55" t="s">
        <v>6</v>
      </c>
      <c r="T55" s="53" t="s">
        <v>47</v>
      </c>
      <c r="Y55" s="67"/>
    </row>
    <row r="56" spans="1:25" ht="14.5" customHeight="1" x14ac:dyDescent="0.35">
      <c r="A56" s="169"/>
      <c r="B56" s="116" t="s">
        <v>51</v>
      </c>
      <c r="C56" t="s">
        <v>24</v>
      </c>
      <c r="D56" s="49" t="s">
        <v>47</v>
      </c>
      <c r="E56" s="49"/>
      <c r="H56" s="111"/>
      <c r="I56" s="67"/>
      <c r="J56" s="88" t="s">
        <v>54</v>
      </c>
      <c r="K56" t="s">
        <v>44</v>
      </c>
      <c r="L56" s="53" t="s">
        <v>36</v>
      </c>
      <c r="M56" s="6">
        <v>0</v>
      </c>
      <c r="P56" s="6">
        <v>0</v>
      </c>
      <c r="Q56" s="67"/>
      <c r="R56" s="95" t="s">
        <v>51</v>
      </c>
      <c r="S56" s="58" t="s">
        <v>7</v>
      </c>
      <c r="T56" s="53" t="s">
        <v>47</v>
      </c>
      <c r="Y56" s="67"/>
    </row>
    <row r="57" spans="1:25" ht="14.5" customHeight="1" x14ac:dyDescent="0.35">
      <c r="A57" s="169"/>
      <c r="B57" s="116" t="s">
        <v>51</v>
      </c>
      <c r="C57" t="s">
        <v>25</v>
      </c>
      <c r="D57" s="49" t="s">
        <v>47</v>
      </c>
      <c r="E57" s="49"/>
      <c r="H57" s="111"/>
      <c r="I57" s="67"/>
      <c r="J57" s="88" t="s">
        <v>54</v>
      </c>
      <c r="K57" t="s">
        <v>45</v>
      </c>
      <c r="L57" s="53" t="s">
        <v>36</v>
      </c>
      <c r="M57" s="6">
        <v>0</v>
      </c>
      <c r="P57" s="6">
        <v>0</v>
      </c>
      <c r="Q57" s="67"/>
      <c r="R57" s="96" t="s">
        <v>51</v>
      </c>
      <c r="S57" s="58" t="s">
        <v>8</v>
      </c>
      <c r="T57" s="49" t="s">
        <v>47</v>
      </c>
      <c r="U57" s="83"/>
      <c r="V57" s="77"/>
      <c r="W57" s="1"/>
      <c r="X57" s="77"/>
      <c r="Y57" s="68"/>
    </row>
    <row r="58" spans="1:25" ht="14.5" customHeight="1" x14ac:dyDescent="0.35">
      <c r="A58" s="169"/>
      <c r="B58" s="116" t="s">
        <v>51</v>
      </c>
      <c r="C58" t="s">
        <v>0</v>
      </c>
      <c r="D58" s="49" t="s">
        <v>36</v>
      </c>
      <c r="E58" s="49"/>
      <c r="H58" s="111"/>
      <c r="I58" s="67"/>
      <c r="J58" s="90" t="s">
        <v>54</v>
      </c>
      <c r="K58" s="1" t="s">
        <v>46</v>
      </c>
      <c r="L58" s="55" t="s">
        <v>36</v>
      </c>
      <c r="M58" s="6">
        <v>0</v>
      </c>
      <c r="P58" s="6">
        <v>0</v>
      </c>
      <c r="Q58" s="67"/>
      <c r="R58" s="97" t="s">
        <v>52</v>
      </c>
      <c r="S58" s="2" t="s">
        <v>10</v>
      </c>
      <c r="T58" s="50" t="s">
        <v>47</v>
      </c>
      <c r="U58" s="122"/>
      <c r="Y58" s="67"/>
    </row>
    <row r="59" spans="1:25" ht="14.5" customHeight="1" x14ac:dyDescent="0.35">
      <c r="A59" s="169"/>
      <c r="B59" s="116" t="s">
        <v>51</v>
      </c>
      <c r="C59" t="s">
        <v>37</v>
      </c>
      <c r="D59" s="49" t="s">
        <v>36</v>
      </c>
      <c r="E59" s="49"/>
      <c r="H59" s="111"/>
      <c r="I59" s="67"/>
      <c r="J59" s="101" t="s">
        <v>92</v>
      </c>
      <c r="K59" s="4" t="s">
        <v>90</v>
      </c>
      <c r="L59" s="62" t="s">
        <v>91</v>
      </c>
      <c r="M59" s="80">
        <v>0</v>
      </c>
      <c r="N59" s="80"/>
      <c r="O59" s="4"/>
      <c r="P59" s="80">
        <v>0</v>
      </c>
      <c r="Q59" s="70" t="s">
        <v>94</v>
      </c>
      <c r="R59" s="98" t="s">
        <v>52</v>
      </c>
      <c r="S59" s="60" t="s">
        <v>9</v>
      </c>
      <c r="T59" s="49" t="s">
        <v>47</v>
      </c>
      <c r="U59" s="83"/>
      <c r="Y59" s="67"/>
    </row>
    <row r="60" spans="1:25" ht="14.5" customHeight="1" x14ac:dyDescent="0.35">
      <c r="A60" s="169"/>
      <c r="B60" s="116" t="s">
        <v>51</v>
      </c>
      <c r="C60" t="s">
        <v>150</v>
      </c>
      <c r="D60" s="49" t="s">
        <v>36</v>
      </c>
      <c r="E60" s="49"/>
      <c r="H60" s="111"/>
      <c r="I60" s="67"/>
      <c r="J60" s="96" t="s">
        <v>93</v>
      </c>
      <c r="K60" s="1" t="s">
        <v>90</v>
      </c>
      <c r="L60" s="55" t="s">
        <v>91</v>
      </c>
      <c r="M60" s="77">
        <v>0</v>
      </c>
      <c r="N60" s="77"/>
      <c r="O60" s="1"/>
      <c r="P60" s="77">
        <v>0</v>
      </c>
      <c r="Q60" s="68" t="s">
        <v>94</v>
      </c>
      <c r="R60" s="99" t="s">
        <v>52</v>
      </c>
      <c r="S60" s="61" t="s">
        <v>27</v>
      </c>
      <c r="T60" s="51" t="s">
        <v>47</v>
      </c>
      <c r="U60" s="120"/>
      <c r="Y60" s="67"/>
    </row>
    <row r="61" spans="1:25" ht="14.5" customHeight="1" x14ac:dyDescent="0.35">
      <c r="A61" s="169"/>
      <c r="B61" s="116" t="s">
        <v>51</v>
      </c>
      <c r="C61" t="s">
        <v>151</v>
      </c>
      <c r="D61" s="49" t="s">
        <v>36</v>
      </c>
      <c r="E61" s="49"/>
      <c r="H61" s="111"/>
      <c r="I61" s="67"/>
      <c r="J61" s="101" t="s">
        <v>152</v>
      </c>
      <c r="K61" s="4" t="s">
        <v>153</v>
      </c>
      <c r="L61" s="62" t="s">
        <v>154</v>
      </c>
      <c r="M61" s="80">
        <v>0</v>
      </c>
      <c r="N61" s="4"/>
      <c r="O61" s="4"/>
      <c r="P61" s="130">
        <v>0</v>
      </c>
      <c r="Q61" s="131"/>
      <c r="R61" s="98" t="s">
        <v>53</v>
      </c>
      <c r="S61" s="57" t="s">
        <v>11</v>
      </c>
      <c r="T61" s="50" t="s">
        <v>47</v>
      </c>
      <c r="U61" s="83"/>
      <c r="V61" s="76"/>
      <c r="W61" s="3"/>
      <c r="X61" s="76"/>
      <c r="Y61" s="69"/>
    </row>
    <row r="62" spans="1:25" ht="14.5" customHeight="1" x14ac:dyDescent="0.35">
      <c r="A62" s="169"/>
      <c r="B62" s="116" t="s">
        <v>51</v>
      </c>
      <c r="C62" t="s">
        <v>155</v>
      </c>
      <c r="D62" s="49" t="s">
        <v>47</v>
      </c>
      <c r="E62" s="49"/>
      <c r="G62" s="6"/>
      <c r="H62" s="111"/>
      <c r="I62" s="67"/>
      <c r="J62" s="142"/>
      <c r="L62" s="6"/>
      <c r="N62"/>
      <c r="P62" s="6"/>
      <c r="R62" s="98" t="s">
        <v>53</v>
      </c>
      <c r="S62" s="58" t="s">
        <v>12</v>
      </c>
      <c r="T62" s="49" t="s">
        <v>47</v>
      </c>
      <c r="U62" s="83"/>
      <c r="Y62" s="67"/>
    </row>
    <row r="63" spans="1:25" ht="14.5" customHeight="1" x14ac:dyDescent="0.35">
      <c r="A63" s="169"/>
      <c r="B63" s="116" t="s">
        <v>51</v>
      </c>
      <c r="C63" t="s">
        <v>156</v>
      </c>
      <c r="D63" s="49" t="s">
        <v>47</v>
      </c>
      <c r="E63" s="49"/>
      <c r="G63" s="6"/>
      <c r="H63" s="111"/>
      <c r="I63" s="67"/>
      <c r="J63" s="142"/>
      <c r="L63" s="6"/>
      <c r="N63"/>
      <c r="P63" s="6"/>
      <c r="R63" s="98" t="s">
        <v>53</v>
      </c>
      <c r="S63" s="58" t="s">
        <v>28</v>
      </c>
      <c r="T63" s="49" t="s">
        <v>47</v>
      </c>
      <c r="U63" s="83"/>
      <c r="Y63" s="67"/>
    </row>
    <row r="64" spans="1:25" ht="14.5" customHeight="1" x14ac:dyDescent="0.35">
      <c r="A64" s="169"/>
      <c r="B64" s="117" t="s">
        <v>52</v>
      </c>
      <c r="C64" s="3" t="s">
        <v>9</v>
      </c>
      <c r="D64" s="50" t="s">
        <v>47</v>
      </c>
      <c r="E64" s="50"/>
      <c r="F64" s="76"/>
      <c r="G64" s="3"/>
      <c r="H64" s="112"/>
      <c r="I64" s="69"/>
      <c r="R64" s="98" t="s">
        <v>53</v>
      </c>
      <c r="S64" s="58" t="s">
        <v>29</v>
      </c>
      <c r="T64" s="49" t="s">
        <v>47</v>
      </c>
      <c r="U64" s="83"/>
      <c r="Y64" s="67"/>
    </row>
    <row r="65" spans="1:25" ht="14.5" customHeight="1" x14ac:dyDescent="0.35">
      <c r="A65" s="169"/>
      <c r="B65" s="117" t="s">
        <v>52</v>
      </c>
      <c r="C65" t="s">
        <v>27</v>
      </c>
      <c r="D65" s="49" t="s">
        <v>47</v>
      </c>
      <c r="E65" s="51"/>
      <c r="F65" s="77"/>
      <c r="G65" s="1"/>
      <c r="H65" s="113"/>
      <c r="I65" s="68"/>
      <c r="J65" s="18"/>
      <c r="Q65" s="13"/>
      <c r="R65" s="98" t="s">
        <v>53</v>
      </c>
      <c r="S65" s="58" t="s">
        <v>30</v>
      </c>
      <c r="T65" s="49" t="s">
        <v>47</v>
      </c>
      <c r="U65" s="83"/>
      <c r="Y65" s="67"/>
    </row>
    <row r="66" spans="1:25" ht="14.5" customHeight="1" x14ac:dyDescent="0.35">
      <c r="A66" s="169"/>
      <c r="B66" s="117" t="s">
        <v>53</v>
      </c>
      <c r="C66" s="3" t="s">
        <v>11</v>
      </c>
      <c r="D66" s="50" t="s">
        <v>47</v>
      </c>
      <c r="E66" s="49"/>
      <c r="H66" s="111"/>
      <c r="I66" s="67"/>
      <c r="J66" s="18"/>
      <c r="Q66" s="13"/>
      <c r="R66" s="98" t="s">
        <v>53</v>
      </c>
      <c r="S66" s="58" t="s">
        <v>31</v>
      </c>
      <c r="T66" s="49" t="s">
        <v>47</v>
      </c>
      <c r="U66" s="83"/>
      <c r="Y66" s="67"/>
    </row>
    <row r="67" spans="1:25" ht="14.5" customHeight="1" x14ac:dyDescent="0.35">
      <c r="A67" s="169"/>
      <c r="B67" s="117" t="s">
        <v>53</v>
      </c>
      <c r="C67" s="1" t="s">
        <v>12</v>
      </c>
      <c r="D67" s="51" t="s">
        <v>47</v>
      </c>
      <c r="E67" s="49"/>
      <c r="H67" s="111"/>
      <c r="I67" s="67"/>
      <c r="J67" s="18"/>
      <c r="Q67" s="13"/>
      <c r="R67" s="98" t="s">
        <v>53</v>
      </c>
      <c r="S67" s="58" t="s">
        <v>32</v>
      </c>
      <c r="T67" s="49" t="s">
        <v>47</v>
      </c>
      <c r="U67" s="83"/>
      <c r="Y67" s="67"/>
    </row>
    <row r="68" spans="1:25" ht="14.5" customHeight="1" x14ac:dyDescent="0.35">
      <c r="A68" s="169"/>
      <c r="B68" s="116" t="s">
        <v>13</v>
      </c>
      <c r="C68" s="2" t="s">
        <v>13</v>
      </c>
      <c r="D68" s="50" t="s">
        <v>47</v>
      </c>
      <c r="E68" s="50"/>
      <c r="F68" s="76"/>
      <c r="G68" s="3"/>
      <c r="H68" s="112"/>
      <c r="I68" s="71" t="s">
        <v>106</v>
      </c>
      <c r="J68" s="18"/>
      <c r="Q68" s="13"/>
      <c r="R68" s="99" t="s">
        <v>53</v>
      </c>
      <c r="S68" s="59" t="s">
        <v>33</v>
      </c>
      <c r="T68" s="51" t="s">
        <v>47</v>
      </c>
      <c r="U68" s="83"/>
      <c r="V68" s="77"/>
      <c r="W68" s="1"/>
      <c r="X68" s="77"/>
      <c r="Y68" s="68"/>
    </row>
    <row r="69" spans="1:25" ht="14.5" customHeight="1" x14ac:dyDescent="0.35">
      <c r="A69" s="169"/>
      <c r="B69" s="116" t="s">
        <v>13</v>
      </c>
      <c r="C69" s="8" t="s">
        <v>55</v>
      </c>
      <c r="D69" s="49" t="s">
        <v>57</v>
      </c>
      <c r="E69" s="49"/>
      <c r="H69" s="111"/>
      <c r="I69" s="67"/>
      <c r="J69" s="17"/>
      <c r="Q69" s="13"/>
      <c r="R69" s="95" t="s">
        <v>74</v>
      </c>
      <c r="S69" s="58" t="s">
        <v>74</v>
      </c>
      <c r="T69" s="49" t="s">
        <v>47</v>
      </c>
      <c r="U69" s="122"/>
      <c r="Y69" s="67" t="s">
        <v>106</v>
      </c>
    </row>
    <row r="70" spans="1:25" ht="14.5" customHeight="1" x14ac:dyDescent="0.35">
      <c r="A70" s="169"/>
      <c r="B70" s="116" t="s">
        <v>13</v>
      </c>
      <c r="C70" s="21" t="s">
        <v>56</v>
      </c>
      <c r="D70" s="51" t="s">
        <v>58</v>
      </c>
      <c r="E70" s="51"/>
      <c r="F70" s="77"/>
      <c r="G70" s="1"/>
      <c r="H70" s="113"/>
      <c r="I70" s="68"/>
      <c r="J70" s="17"/>
      <c r="Q70" s="13"/>
      <c r="R70" s="95" t="s">
        <v>74</v>
      </c>
      <c r="S70" s="63" t="s">
        <v>75</v>
      </c>
      <c r="T70" s="49" t="s">
        <v>57</v>
      </c>
      <c r="U70" s="83"/>
      <c r="Y70" s="67"/>
    </row>
    <row r="71" spans="1:25" ht="14.5" customHeight="1" x14ac:dyDescent="0.35">
      <c r="A71" s="169"/>
      <c r="B71" s="116" t="s">
        <v>59</v>
      </c>
      <c r="C71" s="2" t="s">
        <v>59</v>
      </c>
      <c r="D71" s="49" t="s">
        <v>47</v>
      </c>
      <c r="E71" s="49"/>
      <c r="F71" s="76"/>
      <c r="G71" s="3"/>
      <c r="H71" s="112"/>
      <c r="I71" s="71" t="s">
        <v>106</v>
      </c>
      <c r="J71" s="18"/>
      <c r="Q71" s="13"/>
      <c r="R71" s="95" t="s">
        <v>74</v>
      </c>
      <c r="S71" s="63" t="s">
        <v>76</v>
      </c>
      <c r="T71" s="49" t="s">
        <v>58</v>
      </c>
      <c r="U71" s="83"/>
      <c r="Y71" s="67"/>
    </row>
    <row r="72" spans="1:25" ht="14.5" customHeight="1" x14ac:dyDescent="0.35">
      <c r="A72" s="169"/>
      <c r="B72" s="116" t="s">
        <v>59</v>
      </c>
      <c r="C72" s="8" t="s">
        <v>55</v>
      </c>
      <c r="D72" s="49" t="s">
        <v>57</v>
      </c>
      <c r="E72" s="49"/>
      <c r="H72" s="111"/>
      <c r="I72" s="67"/>
      <c r="J72" s="18"/>
      <c r="Q72" s="13"/>
      <c r="R72" s="95" t="s">
        <v>74</v>
      </c>
      <c r="S72" s="64" t="s">
        <v>81</v>
      </c>
      <c r="T72" s="49" t="s">
        <v>47</v>
      </c>
      <c r="U72" s="83"/>
      <c r="Y72" s="67"/>
    </row>
    <row r="73" spans="1:25" ht="14.5" customHeight="1" x14ac:dyDescent="0.35">
      <c r="A73" s="169"/>
      <c r="B73" s="116" t="s">
        <v>59</v>
      </c>
      <c r="C73" s="8" t="s">
        <v>56</v>
      </c>
      <c r="D73" s="49" t="s">
        <v>58</v>
      </c>
      <c r="E73" s="49"/>
      <c r="H73" s="111"/>
      <c r="I73" s="67"/>
      <c r="J73" s="18"/>
      <c r="Q73" s="13"/>
      <c r="R73" s="95" t="s">
        <v>74</v>
      </c>
      <c r="S73" s="64" t="s">
        <v>64</v>
      </c>
      <c r="T73" s="49" t="s">
        <v>47</v>
      </c>
      <c r="U73" s="120"/>
      <c r="Y73" s="67"/>
    </row>
    <row r="74" spans="1:25" ht="14.5" customHeight="1" x14ac:dyDescent="0.35">
      <c r="A74" s="169"/>
      <c r="B74" s="116" t="s">
        <v>59</v>
      </c>
      <c r="C74" s="8" t="s">
        <v>60</v>
      </c>
      <c r="D74" s="49" t="s">
        <v>47</v>
      </c>
      <c r="E74" s="49"/>
      <c r="H74" s="111"/>
      <c r="I74" s="67"/>
      <c r="J74" s="17"/>
      <c r="L74" s="6"/>
      <c r="Q74" s="13"/>
      <c r="R74" s="100" t="s">
        <v>146</v>
      </c>
      <c r="S74" s="3" t="s">
        <v>148</v>
      </c>
      <c r="T74" s="50" t="s">
        <v>47</v>
      </c>
      <c r="U74" s="145"/>
      <c r="V74" s="76"/>
      <c r="W74" s="3"/>
      <c r="X74" s="76"/>
      <c r="Y74" s="69"/>
    </row>
    <row r="75" spans="1:25" ht="14.5" customHeight="1" x14ac:dyDescent="0.35">
      <c r="A75" s="169"/>
      <c r="B75" s="116" t="s">
        <v>59</v>
      </c>
      <c r="C75" s="8" t="s">
        <v>61</v>
      </c>
      <c r="D75" s="49" t="s">
        <v>47</v>
      </c>
      <c r="E75" s="49"/>
      <c r="H75" s="111"/>
      <c r="I75" s="67"/>
      <c r="J75" s="17"/>
      <c r="Q75" s="13"/>
      <c r="R75" s="95" t="s">
        <v>146</v>
      </c>
      <c r="S75" s="14" t="s">
        <v>75</v>
      </c>
      <c r="T75" s="49" t="s">
        <v>57</v>
      </c>
      <c r="U75" s="83"/>
      <c r="Y75" s="67"/>
    </row>
    <row r="76" spans="1:25" ht="14.5" customHeight="1" x14ac:dyDescent="0.35">
      <c r="A76" s="169"/>
      <c r="B76" s="116" t="s">
        <v>59</v>
      </c>
      <c r="C76" s="8" t="s">
        <v>62</v>
      </c>
      <c r="D76" s="49" t="s">
        <v>47</v>
      </c>
      <c r="E76" s="49"/>
      <c r="H76" s="111"/>
      <c r="I76" s="67"/>
      <c r="J76" s="17"/>
      <c r="L76" s="6"/>
      <c r="Q76" s="13"/>
      <c r="R76" s="96" t="s">
        <v>146</v>
      </c>
      <c r="S76" s="22" t="s">
        <v>76</v>
      </c>
      <c r="T76" s="51" t="s">
        <v>58</v>
      </c>
      <c r="U76" s="83"/>
      <c r="V76" s="77"/>
      <c r="W76" s="1"/>
      <c r="X76" s="77"/>
      <c r="Y76" s="68"/>
    </row>
    <row r="77" spans="1:25" ht="14.5" customHeight="1" x14ac:dyDescent="0.35">
      <c r="A77" s="169"/>
      <c r="B77" s="116" t="s">
        <v>59</v>
      </c>
      <c r="C77" s="8" t="s">
        <v>63</v>
      </c>
      <c r="D77" s="49" t="s">
        <v>47</v>
      </c>
      <c r="E77" s="49"/>
      <c r="H77" s="111"/>
      <c r="I77" s="67"/>
      <c r="J77" s="17"/>
      <c r="L77" s="6"/>
      <c r="Q77" s="13"/>
      <c r="R77" s="100" t="s">
        <v>147</v>
      </c>
      <c r="S77" s="3" t="s">
        <v>149</v>
      </c>
      <c r="T77" s="50" t="s">
        <v>47</v>
      </c>
      <c r="U77" s="144"/>
      <c r="V77" s="76"/>
      <c r="W77" s="3"/>
      <c r="X77" s="76"/>
      <c r="Y77" s="69"/>
    </row>
    <row r="78" spans="1:25" ht="14.5" customHeight="1" x14ac:dyDescent="0.35">
      <c r="A78" s="169"/>
      <c r="B78" s="116" t="s">
        <v>59</v>
      </c>
      <c r="C78" s="8" t="s">
        <v>64</v>
      </c>
      <c r="D78" s="49" t="s">
        <v>47</v>
      </c>
      <c r="E78" s="49"/>
      <c r="H78" s="111"/>
      <c r="I78" s="67"/>
      <c r="J78" s="17"/>
      <c r="L78" s="6"/>
      <c r="Q78" s="13"/>
      <c r="R78" s="95" t="s">
        <v>147</v>
      </c>
      <c r="S78" s="14" t="s">
        <v>75</v>
      </c>
      <c r="T78" s="49" t="s">
        <v>57</v>
      </c>
      <c r="U78" s="83"/>
      <c r="Y78" s="67"/>
    </row>
    <row r="79" spans="1:25" ht="14.5" customHeight="1" x14ac:dyDescent="0.35">
      <c r="A79" s="169"/>
      <c r="B79" s="116" t="s">
        <v>59</v>
      </c>
      <c r="C79" s="8" t="s">
        <v>65</v>
      </c>
      <c r="D79" s="49" t="s">
        <v>47</v>
      </c>
      <c r="E79" s="49"/>
      <c r="H79" s="111"/>
      <c r="I79" s="67"/>
      <c r="J79" s="17"/>
      <c r="Q79" s="13"/>
      <c r="R79" s="96" t="s">
        <v>147</v>
      </c>
      <c r="S79" s="22" t="s">
        <v>76</v>
      </c>
      <c r="T79" s="55" t="s">
        <v>58</v>
      </c>
      <c r="U79" s="120"/>
      <c r="V79" s="77"/>
      <c r="W79" s="1"/>
      <c r="X79" s="77"/>
      <c r="Y79" s="68"/>
    </row>
    <row r="80" spans="1:25" ht="14.5" customHeight="1" x14ac:dyDescent="0.35">
      <c r="A80" s="169"/>
      <c r="B80" s="116" t="s">
        <v>59</v>
      </c>
      <c r="C80" s="8" t="s">
        <v>66</v>
      </c>
      <c r="D80" s="49" t="s">
        <v>47</v>
      </c>
      <c r="E80" s="49"/>
      <c r="H80" s="111"/>
      <c r="I80" s="67"/>
      <c r="J80" s="17"/>
      <c r="Q80" s="13"/>
    </row>
    <row r="81" spans="1:25" ht="14.5" customHeight="1" x14ac:dyDescent="0.35">
      <c r="A81" s="169"/>
      <c r="B81" s="116" t="s">
        <v>59</v>
      </c>
      <c r="C81" s="21" t="s">
        <v>67</v>
      </c>
      <c r="D81" s="51" t="s">
        <v>47</v>
      </c>
      <c r="E81" s="49"/>
      <c r="F81" s="77"/>
      <c r="G81" s="1"/>
      <c r="H81" s="113"/>
      <c r="I81" s="68"/>
      <c r="J81" s="18"/>
      <c r="Q81" s="13"/>
    </row>
    <row r="82" spans="1:25" ht="14.5" customHeight="1" x14ac:dyDescent="0.35">
      <c r="A82" s="169"/>
      <c r="B82" s="116" t="s">
        <v>68</v>
      </c>
      <c r="C82" t="s">
        <v>69</v>
      </c>
      <c r="D82" s="49" t="s">
        <v>47</v>
      </c>
      <c r="E82" s="50"/>
      <c r="H82" s="111"/>
      <c r="I82" s="71" t="s">
        <v>106</v>
      </c>
      <c r="J82" s="18"/>
      <c r="Q82" s="13"/>
    </row>
    <row r="83" spans="1:25" ht="14.5" customHeight="1" x14ac:dyDescent="0.35">
      <c r="A83" s="169"/>
      <c r="B83" s="116" t="s">
        <v>68</v>
      </c>
      <c r="C83" s="14" t="s">
        <v>55</v>
      </c>
      <c r="D83" s="49" t="s">
        <v>57</v>
      </c>
      <c r="E83" s="49"/>
      <c r="H83" s="111"/>
      <c r="I83" s="67"/>
      <c r="J83" s="18"/>
      <c r="Q83" s="13"/>
    </row>
    <row r="84" spans="1:25" ht="14.5" customHeight="1" x14ac:dyDescent="0.35">
      <c r="A84" s="169"/>
      <c r="B84" s="116" t="s">
        <v>68</v>
      </c>
      <c r="C84" s="14" t="s">
        <v>56</v>
      </c>
      <c r="D84" s="49" t="s">
        <v>58</v>
      </c>
      <c r="E84" s="49"/>
      <c r="H84" s="111"/>
      <c r="I84" s="67"/>
      <c r="J84" s="18"/>
      <c r="Q84" s="13"/>
      <c r="R84" s="18"/>
      <c r="Y84" s="13"/>
    </row>
    <row r="85" spans="1:25" ht="14.5" customHeight="1" x14ac:dyDescent="0.35">
      <c r="A85" s="169"/>
      <c r="B85" s="116" t="s">
        <v>68</v>
      </c>
      <c r="C85" s="14" t="s">
        <v>60</v>
      </c>
      <c r="D85" s="49" t="s">
        <v>47</v>
      </c>
      <c r="E85" s="49"/>
      <c r="H85" s="111"/>
      <c r="I85" s="67"/>
      <c r="J85" s="18"/>
      <c r="Q85" s="13"/>
      <c r="R85" s="18"/>
      <c r="Y85" s="13"/>
    </row>
    <row r="86" spans="1:25" ht="14.5" customHeight="1" x14ac:dyDescent="0.35">
      <c r="A86" s="169"/>
      <c r="B86" s="116" t="s">
        <v>68</v>
      </c>
      <c r="C86" s="14" t="s">
        <v>77</v>
      </c>
      <c r="D86" s="49" t="s">
        <v>47</v>
      </c>
      <c r="E86" s="49"/>
      <c r="H86" s="111"/>
      <c r="I86" s="67"/>
      <c r="J86" s="18"/>
      <c r="Q86" s="13"/>
      <c r="R86" s="18"/>
      <c r="Y86" s="13"/>
    </row>
    <row r="87" spans="1:25" ht="14.5" customHeight="1" x14ac:dyDescent="0.35">
      <c r="A87" s="169"/>
      <c r="B87" s="116" t="s">
        <v>68</v>
      </c>
      <c r="C87" s="14" t="s">
        <v>62</v>
      </c>
      <c r="D87" s="49" t="s">
        <v>47</v>
      </c>
      <c r="E87" s="49"/>
      <c r="H87" s="111"/>
      <c r="I87" s="67"/>
      <c r="J87" s="18"/>
      <c r="Q87" s="13"/>
      <c r="R87" s="18"/>
      <c r="Y87" s="13"/>
    </row>
    <row r="88" spans="1:25" ht="15" customHeight="1" x14ac:dyDescent="0.35">
      <c r="A88" s="169"/>
      <c r="B88" s="116" t="s">
        <v>68</v>
      </c>
      <c r="C88" s="14" t="s">
        <v>63</v>
      </c>
      <c r="D88" s="49" t="s">
        <v>47</v>
      </c>
      <c r="E88" s="49"/>
      <c r="H88" s="111"/>
      <c r="I88" s="67"/>
      <c r="J88" s="18"/>
      <c r="Q88" s="13"/>
      <c r="R88" s="18"/>
      <c r="Y88" s="13"/>
    </row>
    <row r="89" spans="1:25" ht="17.149999999999999" customHeight="1" x14ac:dyDescent="0.35">
      <c r="A89" s="169"/>
      <c r="B89" s="101" t="s">
        <v>68</v>
      </c>
      <c r="C89" s="14" t="s">
        <v>64</v>
      </c>
      <c r="D89" s="49" t="s">
        <v>47</v>
      </c>
      <c r="E89" s="49"/>
      <c r="H89" s="111"/>
      <c r="I89" s="67"/>
      <c r="J89" s="18"/>
      <c r="Q89" s="13"/>
      <c r="R89" s="18"/>
      <c r="Y89" s="13"/>
    </row>
    <row r="90" spans="1:25" ht="14.5" customHeight="1" x14ac:dyDescent="0.35">
      <c r="A90" s="169"/>
      <c r="B90" s="116" t="s">
        <v>68</v>
      </c>
      <c r="C90" s="14" t="s">
        <v>65</v>
      </c>
      <c r="D90" s="49" t="s">
        <v>47</v>
      </c>
      <c r="E90" s="49"/>
      <c r="H90" s="111"/>
      <c r="I90" s="67"/>
      <c r="J90" s="18"/>
      <c r="Q90" s="13"/>
      <c r="R90" s="18"/>
      <c r="T90" s="6"/>
      <c r="Y90" s="13"/>
    </row>
    <row r="91" spans="1:25" ht="14.5" customHeight="1" x14ac:dyDescent="0.35">
      <c r="A91" s="169"/>
      <c r="B91" s="116" t="s">
        <v>68</v>
      </c>
      <c r="C91" s="14" t="s">
        <v>66</v>
      </c>
      <c r="D91" s="49" t="s">
        <v>47</v>
      </c>
      <c r="E91" s="49"/>
      <c r="H91" s="111"/>
      <c r="I91" s="67"/>
      <c r="J91" s="18"/>
      <c r="Q91" s="13"/>
      <c r="R91" s="18"/>
      <c r="T91" s="6"/>
      <c r="Y91" s="13"/>
    </row>
    <row r="92" spans="1:25" ht="14.5" customHeight="1" x14ac:dyDescent="0.35">
      <c r="A92" s="169"/>
      <c r="B92" s="116" t="s">
        <v>68</v>
      </c>
      <c r="C92" s="14" t="s">
        <v>67</v>
      </c>
      <c r="D92" s="49" t="s">
        <v>47</v>
      </c>
      <c r="E92" s="49"/>
      <c r="H92" s="111"/>
      <c r="I92" s="67"/>
      <c r="J92" s="18"/>
      <c r="Q92" s="13"/>
      <c r="R92" s="18"/>
      <c r="T92" s="6"/>
      <c r="Y92" s="13"/>
    </row>
    <row r="93" spans="1:25" ht="15" customHeight="1" x14ac:dyDescent="0.35">
      <c r="A93" s="169"/>
      <c r="B93" s="116" t="s">
        <v>68</v>
      </c>
      <c r="C93" s="14" t="s">
        <v>70</v>
      </c>
      <c r="D93" s="49" t="s">
        <v>47</v>
      </c>
      <c r="E93" s="49"/>
      <c r="H93" s="111"/>
      <c r="I93" s="67"/>
      <c r="J93" s="18"/>
      <c r="Q93" s="13"/>
      <c r="R93" s="18"/>
      <c r="T93" s="6"/>
      <c r="Y93" s="13"/>
    </row>
    <row r="94" spans="1:25" ht="14.5" customHeight="1" x14ac:dyDescent="0.35">
      <c r="A94" s="169"/>
      <c r="B94" s="116" t="s">
        <v>68</v>
      </c>
      <c r="C94" s="14" t="s">
        <v>71</v>
      </c>
      <c r="D94" s="49" t="s">
        <v>47</v>
      </c>
      <c r="E94" s="49"/>
      <c r="H94" s="111"/>
      <c r="I94" s="67"/>
      <c r="J94" s="18"/>
      <c r="Q94" s="13"/>
      <c r="R94" s="18"/>
      <c r="T94" s="6"/>
      <c r="Y94" s="13"/>
    </row>
    <row r="95" spans="1:25" ht="14.5" customHeight="1" x14ac:dyDescent="0.35">
      <c r="A95" s="169"/>
      <c r="B95" s="116" t="s">
        <v>68</v>
      </c>
      <c r="C95" s="14" t="s">
        <v>72</v>
      </c>
      <c r="D95" s="49" t="s">
        <v>36</v>
      </c>
      <c r="E95" s="49"/>
      <c r="H95" s="111"/>
      <c r="I95" s="67"/>
      <c r="J95" s="18"/>
      <c r="Q95" s="13"/>
      <c r="R95" s="18"/>
      <c r="Y95" s="13"/>
    </row>
    <row r="96" spans="1:25" ht="14.5" customHeight="1" thickBot="1" x14ac:dyDescent="0.4">
      <c r="A96" s="170"/>
      <c r="B96" s="118" t="s">
        <v>68</v>
      </c>
      <c r="C96" s="20" t="s">
        <v>73</v>
      </c>
      <c r="D96" s="102" t="s">
        <v>36</v>
      </c>
      <c r="E96" s="102"/>
      <c r="F96" s="78"/>
      <c r="G96" s="15"/>
      <c r="H96" s="114"/>
      <c r="I96" s="72"/>
      <c r="J96" s="19"/>
      <c r="K96" s="15"/>
      <c r="L96" s="15"/>
      <c r="M96" s="78"/>
      <c r="N96" s="78"/>
      <c r="O96" s="15"/>
      <c r="P96" s="15"/>
      <c r="Q96" s="16"/>
      <c r="R96" s="19"/>
      <c r="S96" s="15"/>
      <c r="T96" s="15"/>
      <c r="U96" s="87"/>
      <c r="V96" s="78"/>
      <c r="W96" s="15"/>
      <c r="X96" s="78"/>
      <c r="Y96" s="16"/>
    </row>
    <row r="97" spans="1:20" ht="14.5" customHeight="1" x14ac:dyDescent="0.35">
      <c r="A97" s="46"/>
      <c r="B97" s="45"/>
      <c r="C97" s="14"/>
      <c r="D97" s="6"/>
    </row>
    <row r="98" spans="1:20" ht="14.5" customHeight="1" x14ac:dyDescent="0.35">
      <c r="A98" s="46"/>
      <c r="B98" s="45"/>
      <c r="C98" s="14"/>
      <c r="D98" s="6"/>
    </row>
    <row r="99" spans="1:20" ht="14.5" customHeight="1" x14ac:dyDescent="0.35">
      <c r="A99" s="46"/>
      <c r="B99" s="45"/>
      <c r="C99" s="14"/>
      <c r="D99" s="6"/>
    </row>
    <row r="100" spans="1:20" ht="14.5" customHeight="1" x14ac:dyDescent="0.35">
      <c r="A100" s="46"/>
      <c r="B100" s="45"/>
      <c r="C100" s="14"/>
      <c r="D100" s="6"/>
    </row>
    <row r="101" spans="1:20" ht="14.5" customHeight="1" x14ac:dyDescent="0.35">
      <c r="A101" s="46"/>
      <c r="B101" s="45"/>
      <c r="C101" s="14"/>
      <c r="D101" s="6"/>
    </row>
    <row r="102" spans="1:20" ht="14.5" customHeight="1" x14ac:dyDescent="0.35">
      <c r="A102" s="46"/>
      <c r="B102" s="45"/>
      <c r="C102" s="14"/>
      <c r="D102" s="6"/>
      <c r="F102" s="140"/>
      <c r="G102" s="134"/>
      <c r="H102" s="135"/>
      <c r="T102" s="6"/>
    </row>
    <row r="103" spans="1:20" ht="14.5" customHeight="1" x14ac:dyDescent="0.35">
      <c r="A103" s="46"/>
      <c r="B103" s="45"/>
      <c r="C103" s="14"/>
      <c r="D103" s="6"/>
      <c r="F103" s="173"/>
      <c r="T103" s="6"/>
    </row>
    <row r="104" spans="1:20" ht="14.5" customHeight="1" x14ac:dyDescent="0.35">
      <c r="A104" s="46"/>
      <c r="B104" s="45"/>
      <c r="C104" s="14"/>
      <c r="D104" s="6"/>
      <c r="F104" s="173"/>
      <c r="T104" s="6"/>
    </row>
    <row r="105" spans="1:20" ht="14.5" customHeight="1" x14ac:dyDescent="0.35">
      <c r="A105" s="46"/>
      <c r="B105" s="45"/>
      <c r="C105" s="14"/>
      <c r="D105" s="6"/>
      <c r="F105" s="173"/>
    </row>
    <row r="106" spans="1:20" ht="14.5" customHeight="1" x14ac:dyDescent="0.35">
      <c r="A106" s="46"/>
      <c r="B106" s="45"/>
      <c r="C106" s="14"/>
      <c r="D106" s="6"/>
      <c r="F106" s="173"/>
      <c r="T106" s="6"/>
    </row>
    <row r="107" spans="1:20" ht="15" customHeight="1" x14ac:dyDescent="0.35">
      <c r="A107" s="46"/>
      <c r="B107" s="45"/>
      <c r="C107" s="14"/>
      <c r="D107" s="6"/>
      <c r="T107" s="6"/>
    </row>
    <row r="108" spans="1:20" x14ac:dyDescent="0.35">
      <c r="A108" s="9"/>
      <c r="B108" s="7"/>
      <c r="D108" s="6"/>
      <c r="F108" s="174"/>
      <c r="T108" s="6"/>
    </row>
    <row r="109" spans="1:20" x14ac:dyDescent="0.35">
      <c r="A109" s="9"/>
      <c r="B109" s="7"/>
      <c r="D109" s="6"/>
      <c r="F109" s="174"/>
      <c r="T109" s="6"/>
    </row>
    <row r="110" spans="1:20" x14ac:dyDescent="0.35">
      <c r="A110" s="9"/>
      <c r="B110" s="7"/>
      <c r="D110" s="6"/>
      <c r="T110" s="6"/>
    </row>
    <row r="111" spans="1:20" x14ac:dyDescent="0.35">
      <c r="A111" s="9"/>
      <c r="B111" s="7"/>
      <c r="D111" s="6"/>
      <c r="F111" s="174"/>
      <c r="T111" s="6"/>
    </row>
    <row r="112" spans="1:20" x14ac:dyDescent="0.35">
      <c r="A112" s="9"/>
      <c r="B112" s="7"/>
      <c r="D112" s="6"/>
      <c r="F112" s="174"/>
      <c r="T112" s="6"/>
    </row>
    <row r="113" spans="1:20" x14ac:dyDescent="0.35">
      <c r="A113" s="9"/>
      <c r="B113" s="7"/>
      <c r="D113" s="6"/>
      <c r="T113" s="6"/>
    </row>
    <row r="114" spans="1:20" x14ac:dyDescent="0.35">
      <c r="A114" s="9"/>
      <c r="B114" s="7"/>
      <c r="D114" s="6"/>
      <c r="F114" s="174"/>
      <c r="T114" s="6"/>
    </row>
    <row r="115" spans="1:20" x14ac:dyDescent="0.35">
      <c r="A115" s="9"/>
      <c r="B115" s="7"/>
      <c r="D115" s="6"/>
      <c r="F115" s="174"/>
      <c r="T115" s="6"/>
    </row>
    <row r="116" spans="1:20" x14ac:dyDescent="0.35">
      <c r="A116" s="9"/>
      <c r="B116" s="7"/>
      <c r="D116" s="6"/>
      <c r="F116" s="174"/>
      <c r="T116" s="6"/>
    </row>
    <row r="117" spans="1:20" x14ac:dyDescent="0.35">
      <c r="A117" s="9"/>
      <c r="B117" s="7"/>
      <c r="D117" s="6"/>
      <c r="T117" s="6"/>
    </row>
    <row r="118" spans="1:20" x14ac:dyDescent="0.35">
      <c r="A118" s="9"/>
      <c r="B118" s="7"/>
      <c r="D118" s="6"/>
      <c r="F118" s="174"/>
      <c r="T118" s="6"/>
    </row>
    <row r="119" spans="1:20" x14ac:dyDescent="0.35">
      <c r="A119" s="9"/>
      <c r="B119" s="7"/>
      <c r="C119" s="10"/>
      <c r="D119" s="6"/>
      <c r="F119" s="174"/>
      <c r="T119" s="6"/>
    </row>
    <row r="120" spans="1:20" x14ac:dyDescent="0.4">
      <c r="F120" s="174"/>
    </row>
    <row r="121" spans="1:20" x14ac:dyDescent="0.4">
      <c r="F121" s="174"/>
    </row>
    <row r="122" spans="1:20" x14ac:dyDescent="0.4">
      <c r="F122" s="174"/>
    </row>
    <row r="123" spans="1:20" x14ac:dyDescent="0.4">
      <c r="F123" s="174"/>
    </row>
    <row r="124" spans="1:20" x14ac:dyDescent="0.4">
      <c r="F124" s="174"/>
    </row>
    <row r="125" spans="1:20" x14ac:dyDescent="0.4">
      <c r="F125" s="174"/>
    </row>
    <row r="126" spans="1:20" x14ac:dyDescent="0.4">
      <c r="F126" s="174"/>
    </row>
  </sheetData>
  <mergeCells count="11">
    <mergeCell ref="F103:F106"/>
    <mergeCell ref="F108:F109"/>
    <mergeCell ref="F111:F112"/>
    <mergeCell ref="F114:F116"/>
    <mergeCell ref="F118:F126"/>
    <mergeCell ref="R1:Y1"/>
    <mergeCell ref="A50:A96"/>
    <mergeCell ref="B1:I1"/>
    <mergeCell ref="J1:Q1"/>
    <mergeCell ref="A3:A49"/>
    <mergeCell ref="A1:A2"/>
  </mergeCells>
  <phoneticPr fontId="1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8C0CBE-4817-4041-B0FB-64FBD54208AB}">
          <x14:formula1>
            <xm:f>aide!$C$54:$C$56</xm:f>
          </x14:formula1>
          <xm:sqref>V75:V76 N73:N96 N69:N70 V37:V49 V3:V10 F51:F96 V84:V96 N18:N19 V22:V32 N5:N13 V78:V79 F17:F19 V57:V73 F21:F49 N26:N49 N51:N60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0277-4C55-4661-A959-79FA0728419B}">
  <dimension ref="A1:Y119"/>
  <sheetViews>
    <sheetView zoomScale="40" zoomScaleNormal="40" workbookViewId="0">
      <pane xSplit="1" ySplit="2" topLeftCell="I51" activePane="bottomRight" state="frozen"/>
      <selection pane="topRight" activeCell="B1" sqref="B1"/>
      <selection pane="bottomLeft" activeCell="A3" sqref="A3"/>
      <selection pane="bottomRight" activeCell="X85" sqref="X85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5" width="13.81640625" style="6" customWidth="1"/>
    <col min="6" max="6" width="13.81640625" customWidth="1"/>
    <col min="7" max="7" width="26.54296875" customWidth="1"/>
    <col min="8" max="8" width="20.81640625" customWidth="1"/>
    <col min="9" max="9" width="38.81640625" customWidth="1"/>
    <col min="10" max="10" width="18" customWidth="1"/>
    <col min="11" max="11" width="37.54296875" customWidth="1"/>
    <col min="12" max="12" width="8.54296875" customWidth="1"/>
    <col min="13" max="13" width="12.1796875" style="6" customWidth="1"/>
    <col min="14" max="14" width="14.81640625" customWidth="1"/>
    <col min="15" max="15" width="27.453125" customWidth="1"/>
    <col min="16" max="16" width="21.08984375" customWidth="1"/>
    <col min="17" max="17" width="37.81640625" customWidth="1"/>
    <col min="18" max="18" width="16.1796875" customWidth="1"/>
    <col min="19" max="19" width="51.54296875" customWidth="1"/>
    <col min="20" max="20" width="9.1796875" customWidth="1"/>
    <col min="21" max="22" width="11.81640625" style="6" customWidth="1"/>
    <col min="23" max="23" width="27.453125" customWidth="1"/>
    <col min="24" max="24" width="22.1796875" customWidth="1"/>
    <col min="25" max="25" width="41.81640625" customWidth="1"/>
  </cols>
  <sheetData>
    <row r="1" spans="1:25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7"/>
      <c r="J1" s="165" t="s">
        <v>19</v>
      </c>
      <c r="K1" s="166"/>
      <c r="L1" s="166"/>
      <c r="M1" s="166"/>
      <c r="N1" s="166"/>
      <c r="O1" s="166"/>
      <c r="P1" s="166"/>
      <c r="Q1" s="167"/>
      <c r="R1" s="165" t="s">
        <v>20</v>
      </c>
      <c r="S1" s="166"/>
      <c r="T1" s="166"/>
      <c r="U1" s="166"/>
      <c r="V1" s="166"/>
      <c r="W1" s="166"/>
      <c r="X1" s="166"/>
      <c r="Y1" s="167"/>
    </row>
    <row r="2" spans="1:25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26" t="s">
        <v>125</v>
      </c>
      <c r="I2" s="27" t="s">
        <v>17</v>
      </c>
      <c r="J2" s="28" t="str">
        <f t="shared" ref="J2:Q2" si="0">B2</f>
        <v>Catégorie</v>
      </c>
      <c r="K2" s="29" t="str">
        <f t="shared" si="0"/>
        <v>Equipement</v>
      </c>
      <c r="L2" s="29" t="str">
        <f t="shared" si="0"/>
        <v>Unité</v>
      </c>
      <c r="M2" s="29" t="str">
        <f t="shared" si="0"/>
        <v>Quantité</v>
      </c>
      <c r="N2" s="29" t="str">
        <f t="shared" si="0"/>
        <v>Qualité de la donnée</v>
      </c>
      <c r="O2" s="29" t="str">
        <f t="shared" si="0"/>
        <v>Autres opérateurs utilisant les équipements et quelle quantité</v>
      </c>
      <c r="P2" s="29" t="str">
        <f t="shared" si="0"/>
        <v>Pourcentage de reconditionnement (%)</v>
      </c>
      <c r="Q2" s="29" t="str">
        <f t="shared" si="0"/>
        <v>Commentaire</v>
      </c>
      <c r="R2" s="121" t="str">
        <f t="shared" ref="R2:Y2" si="1">B2</f>
        <v>Catégorie</v>
      </c>
      <c r="S2" s="25" t="str">
        <f t="shared" si="1"/>
        <v>Equipement</v>
      </c>
      <c r="T2" s="25" t="str">
        <f t="shared" si="1"/>
        <v>Unité</v>
      </c>
      <c r="U2" s="25" t="str">
        <f t="shared" si="1"/>
        <v>Quantité</v>
      </c>
      <c r="V2" s="25" t="str">
        <f t="shared" si="1"/>
        <v>Qualité de la donnée</v>
      </c>
      <c r="W2" s="25" t="str">
        <f t="shared" si="1"/>
        <v>Autres opérateurs utilisant les équipements et quelle quantité</v>
      </c>
      <c r="X2" s="25" t="str">
        <f t="shared" si="1"/>
        <v>Pourcentage de reconditionnement (%)</v>
      </c>
      <c r="Y2" s="25" t="str">
        <f t="shared" si="1"/>
        <v>Commentaire</v>
      </c>
    </row>
    <row r="3" spans="1:25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75">
        <v>10</v>
      </c>
      <c r="F3" s="12" t="s">
        <v>84</v>
      </c>
      <c r="G3" s="32"/>
      <c r="H3" s="32">
        <v>0</v>
      </c>
      <c r="I3" s="66"/>
      <c r="J3" s="94" t="s">
        <v>54</v>
      </c>
      <c r="K3" t="s">
        <v>38</v>
      </c>
      <c r="L3" s="52" t="s">
        <v>36</v>
      </c>
      <c r="M3" s="160">
        <v>10</v>
      </c>
      <c r="N3" s="3" t="s">
        <v>84</v>
      </c>
      <c r="O3" s="34"/>
      <c r="P3" s="34">
        <v>0</v>
      </c>
      <c r="Q3" s="66"/>
      <c r="R3" s="94" t="s">
        <v>51</v>
      </c>
      <c r="S3" s="12" t="s">
        <v>3</v>
      </c>
      <c r="T3" s="73" t="s">
        <v>47</v>
      </c>
      <c r="U3" s="73">
        <v>10</v>
      </c>
      <c r="V3" s="75" t="s">
        <v>84</v>
      </c>
      <c r="W3" s="32"/>
      <c r="X3" s="123">
        <v>0</v>
      </c>
      <c r="Y3" s="66"/>
    </row>
    <row r="4" spans="1:25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H4" s="33"/>
      <c r="I4" s="67"/>
      <c r="J4" s="95" t="s">
        <v>54</v>
      </c>
      <c r="K4" t="s">
        <v>39</v>
      </c>
      <c r="L4" s="53" t="s">
        <v>36</v>
      </c>
      <c r="M4" s="155"/>
      <c r="O4" s="33"/>
      <c r="P4" s="33"/>
      <c r="Q4" s="67"/>
      <c r="R4" s="95" t="s">
        <v>51</v>
      </c>
      <c r="S4" t="s">
        <v>50</v>
      </c>
      <c r="T4" s="49" t="s">
        <v>47</v>
      </c>
      <c r="U4" s="49"/>
      <c r="W4" s="33"/>
      <c r="X4" s="126"/>
      <c r="Y4" s="67"/>
    </row>
    <row r="5" spans="1:25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H5" s="33"/>
      <c r="I5" s="67"/>
      <c r="J5" s="95" t="s">
        <v>54</v>
      </c>
      <c r="K5" t="s">
        <v>40</v>
      </c>
      <c r="L5" s="53" t="s">
        <v>36</v>
      </c>
      <c r="M5" s="155"/>
      <c r="O5" s="33"/>
      <c r="P5" s="33"/>
      <c r="Q5" s="67"/>
      <c r="R5" s="95" t="s">
        <v>51</v>
      </c>
      <c r="S5" t="s">
        <v>26</v>
      </c>
      <c r="T5" s="49" t="s">
        <v>47</v>
      </c>
      <c r="U5" s="49"/>
      <c r="W5" s="33"/>
      <c r="X5" s="126"/>
      <c r="Y5" s="67"/>
    </row>
    <row r="6" spans="1:25" ht="17.149999999999999" customHeight="1" x14ac:dyDescent="0.35">
      <c r="A6" s="169"/>
      <c r="B6" s="101" t="s">
        <v>51</v>
      </c>
      <c r="C6" t="s">
        <v>22</v>
      </c>
      <c r="D6" s="53" t="s">
        <v>47</v>
      </c>
      <c r="G6" s="33"/>
      <c r="H6" s="33"/>
      <c r="I6" s="67"/>
      <c r="J6" s="95" t="s">
        <v>54</v>
      </c>
      <c r="K6" t="s">
        <v>41</v>
      </c>
      <c r="L6" s="53" t="s">
        <v>36</v>
      </c>
      <c r="M6" s="155"/>
      <c r="O6" s="33"/>
      <c r="P6" s="33"/>
      <c r="Q6" s="67"/>
      <c r="R6" s="95" t="s">
        <v>51</v>
      </c>
      <c r="S6" t="s">
        <v>4</v>
      </c>
      <c r="T6" s="49" t="s">
        <v>47</v>
      </c>
      <c r="U6" s="49"/>
      <c r="W6" s="33"/>
      <c r="X6" s="126"/>
      <c r="Y6" s="67"/>
    </row>
    <row r="7" spans="1:25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H7" s="33"/>
      <c r="I7" s="67"/>
      <c r="J7" s="95" t="s">
        <v>54</v>
      </c>
      <c r="K7" t="s">
        <v>42</v>
      </c>
      <c r="L7" s="53" t="s">
        <v>36</v>
      </c>
      <c r="M7" s="155"/>
      <c r="O7" s="33"/>
      <c r="P7" s="33"/>
      <c r="Q7" s="67"/>
      <c r="R7" s="95" t="s">
        <v>51</v>
      </c>
      <c r="S7" t="s">
        <v>5</v>
      </c>
      <c r="T7" s="49" t="s">
        <v>47</v>
      </c>
      <c r="U7" s="49"/>
      <c r="W7" s="33"/>
      <c r="X7" s="126"/>
      <c r="Y7" s="67"/>
    </row>
    <row r="8" spans="1:25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H8" s="33"/>
      <c r="I8" s="67"/>
      <c r="J8" s="95" t="s">
        <v>54</v>
      </c>
      <c r="K8" t="s">
        <v>43</v>
      </c>
      <c r="L8" s="53" t="s">
        <v>36</v>
      </c>
      <c r="M8" s="155"/>
      <c r="O8" s="33"/>
      <c r="P8" s="33"/>
      <c r="Q8" s="67"/>
      <c r="R8" s="95" t="s">
        <v>51</v>
      </c>
      <c r="S8" t="s">
        <v>6</v>
      </c>
      <c r="T8" s="49" t="s">
        <v>47</v>
      </c>
      <c r="U8" s="49"/>
      <c r="W8" s="33"/>
      <c r="X8" s="126"/>
      <c r="Y8" s="67"/>
    </row>
    <row r="9" spans="1:25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H9" s="33"/>
      <c r="I9" s="67"/>
      <c r="J9" s="95" t="s">
        <v>54</v>
      </c>
      <c r="K9" t="s">
        <v>44</v>
      </c>
      <c r="L9" s="53" t="s">
        <v>36</v>
      </c>
      <c r="M9" s="155"/>
      <c r="O9" s="33"/>
      <c r="P9" s="33"/>
      <c r="Q9" s="67"/>
      <c r="R9" s="95" t="s">
        <v>51</v>
      </c>
      <c r="S9" t="s">
        <v>7</v>
      </c>
      <c r="T9" s="49" t="s">
        <v>47</v>
      </c>
      <c r="U9" s="49"/>
      <c r="W9" s="33"/>
      <c r="X9" s="126"/>
      <c r="Y9" s="67"/>
    </row>
    <row r="10" spans="1:25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H10" s="33"/>
      <c r="I10" s="67"/>
      <c r="J10" s="95" t="s">
        <v>54</v>
      </c>
      <c r="K10" t="s">
        <v>45</v>
      </c>
      <c r="L10" s="53" t="s">
        <v>36</v>
      </c>
      <c r="M10" s="155"/>
      <c r="O10" s="33"/>
      <c r="P10" s="33"/>
      <c r="Q10" s="67"/>
      <c r="R10" s="96" t="s">
        <v>51</v>
      </c>
      <c r="S10" s="1" t="s">
        <v>8</v>
      </c>
      <c r="T10" s="51" t="s">
        <v>47</v>
      </c>
      <c r="U10" s="51"/>
      <c r="V10" s="77"/>
      <c r="W10" s="35"/>
      <c r="X10" s="124"/>
      <c r="Y10" s="68"/>
    </row>
    <row r="11" spans="1:25" ht="17.149999999999999" customHeight="1" x14ac:dyDescent="0.35">
      <c r="A11" s="169"/>
      <c r="B11" s="101" t="s">
        <v>51</v>
      </c>
      <c r="C11" t="s">
        <v>0</v>
      </c>
      <c r="D11" s="53" t="s">
        <v>36</v>
      </c>
      <c r="G11" s="33"/>
      <c r="H11" s="33"/>
      <c r="I11" s="67"/>
      <c r="J11" s="95" t="s">
        <v>54</v>
      </c>
      <c r="K11" t="s">
        <v>46</v>
      </c>
      <c r="L11" s="55" t="s">
        <v>36</v>
      </c>
      <c r="M11" s="155"/>
      <c r="O11" s="33"/>
      <c r="P11" s="33"/>
      <c r="Q11" s="67"/>
      <c r="R11" s="97" t="s">
        <v>52</v>
      </c>
      <c r="S11" s="2" t="s">
        <v>10</v>
      </c>
      <c r="T11" s="54" t="s">
        <v>47</v>
      </c>
      <c r="V11" s="76"/>
      <c r="W11" s="34"/>
      <c r="X11" s="125"/>
      <c r="Y11" s="128"/>
    </row>
    <row r="12" spans="1:25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G12" s="33"/>
      <c r="H12" s="33"/>
      <c r="I12" s="67"/>
      <c r="J12" s="101" t="s">
        <v>92</v>
      </c>
      <c r="K12" s="48" t="s">
        <v>90</v>
      </c>
      <c r="L12" s="62" t="s">
        <v>91</v>
      </c>
      <c r="M12" s="161"/>
      <c r="N12" s="4"/>
      <c r="O12" s="36"/>
      <c r="P12" s="36"/>
      <c r="Q12" s="70" t="s">
        <v>94</v>
      </c>
      <c r="R12" s="98" t="s">
        <v>52</v>
      </c>
      <c r="S12" s="60" t="s">
        <v>9</v>
      </c>
      <c r="T12" s="49" t="s">
        <v>47</v>
      </c>
      <c r="U12" s="49"/>
      <c r="W12" s="33"/>
      <c r="X12" s="126"/>
      <c r="Y12" s="127"/>
    </row>
    <row r="13" spans="1:25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G13" s="33"/>
      <c r="H13" s="33"/>
      <c r="I13" s="67"/>
      <c r="J13" s="96" t="s">
        <v>93</v>
      </c>
      <c r="K13" s="1" t="s">
        <v>90</v>
      </c>
      <c r="L13" s="55" t="s">
        <v>91</v>
      </c>
      <c r="M13" s="161"/>
      <c r="N13" s="1"/>
      <c r="O13" s="35"/>
      <c r="P13" s="35"/>
      <c r="Q13" s="68" t="s">
        <v>94</v>
      </c>
      <c r="R13" s="99" t="s">
        <v>52</v>
      </c>
      <c r="S13" s="61" t="s">
        <v>27</v>
      </c>
      <c r="T13" s="55" t="s">
        <v>47</v>
      </c>
      <c r="U13" s="77"/>
      <c r="V13" s="77"/>
      <c r="W13" s="35"/>
      <c r="X13" s="124"/>
      <c r="Y13" s="68"/>
    </row>
    <row r="14" spans="1:25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G14" s="33"/>
      <c r="H14" s="33"/>
      <c r="I14" s="67"/>
      <c r="J14" s="101" t="s">
        <v>152</v>
      </c>
      <c r="K14" s="4" t="s">
        <v>153</v>
      </c>
      <c r="L14" s="62" t="s">
        <v>154</v>
      </c>
      <c r="M14" s="157"/>
      <c r="N14" s="4"/>
      <c r="O14" s="36"/>
      <c r="P14" s="132"/>
      <c r="Q14" s="131"/>
      <c r="R14" s="98" t="s">
        <v>53</v>
      </c>
      <c r="S14" s="60" t="s">
        <v>11</v>
      </c>
      <c r="T14" s="53" t="s">
        <v>47</v>
      </c>
      <c r="U14" s="50"/>
      <c r="W14" s="33"/>
      <c r="X14" s="126"/>
      <c r="Y14" s="67"/>
    </row>
    <row r="15" spans="1:25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G15" s="33"/>
      <c r="H15" s="33"/>
      <c r="I15" s="67"/>
      <c r="J15" s="142"/>
      <c r="L15" s="6"/>
      <c r="M15" s="162"/>
      <c r="O15" s="33"/>
      <c r="P15" s="143"/>
      <c r="R15" s="98" t="s">
        <v>53</v>
      </c>
      <c r="S15" s="60" t="s">
        <v>12</v>
      </c>
      <c r="T15" s="53" t="s">
        <v>47</v>
      </c>
      <c r="U15" s="49"/>
      <c r="W15" s="33"/>
      <c r="X15" s="126"/>
      <c r="Y15" s="67"/>
    </row>
    <row r="16" spans="1:25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G16" s="33"/>
      <c r="H16" s="33"/>
      <c r="I16" s="67"/>
      <c r="J16" s="142"/>
      <c r="L16" s="6"/>
      <c r="O16" s="33"/>
      <c r="P16" s="143"/>
      <c r="R16" s="98" t="s">
        <v>53</v>
      </c>
      <c r="S16" s="60" t="s">
        <v>28</v>
      </c>
      <c r="T16" s="53" t="s">
        <v>47</v>
      </c>
      <c r="U16" s="49"/>
      <c r="W16" s="33"/>
      <c r="X16" s="126"/>
      <c r="Y16" s="67"/>
    </row>
    <row r="17" spans="1:25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76"/>
      <c r="F17" s="3"/>
      <c r="G17" s="34"/>
      <c r="H17" s="34"/>
      <c r="I17" s="69"/>
      <c r="O17" s="33"/>
      <c r="P17" s="33"/>
      <c r="R17" s="98" t="s">
        <v>53</v>
      </c>
      <c r="S17" s="60" t="s">
        <v>29</v>
      </c>
      <c r="T17" s="53" t="s">
        <v>47</v>
      </c>
      <c r="U17" s="49"/>
      <c r="W17" s="33"/>
      <c r="X17" s="126"/>
      <c r="Y17" s="67"/>
    </row>
    <row r="18" spans="1:25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G18" s="33"/>
      <c r="H18" s="33"/>
      <c r="I18" s="67"/>
      <c r="J18" s="17"/>
      <c r="O18" s="33"/>
      <c r="P18" s="33"/>
      <c r="Q18" s="13"/>
      <c r="R18" s="98" t="s">
        <v>53</v>
      </c>
      <c r="S18" s="60" t="s">
        <v>30</v>
      </c>
      <c r="T18" s="53" t="s">
        <v>47</v>
      </c>
      <c r="U18" s="49"/>
      <c r="W18" s="33"/>
      <c r="X18" s="126"/>
      <c r="Y18" s="67"/>
    </row>
    <row r="19" spans="1:25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E19" s="76"/>
      <c r="F19" s="3"/>
      <c r="G19" s="34"/>
      <c r="H19" s="34"/>
      <c r="I19" s="69"/>
      <c r="J19" s="17"/>
      <c r="O19" s="33"/>
      <c r="P19" s="33"/>
      <c r="Q19" s="13"/>
      <c r="R19" s="98" t="s">
        <v>53</v>
      </c>
      <c r="S19" s="60" t="s">
        <v>31</v>
      </c>
      <c r="T19" s="53" t="s">
        <v>47</v>
      </c>
      <c r="U19" s="49"/>
      <c r="W19" s="33"/>
      <c r="X19" s="126"/>
      <c r="Y19" s="67"/>
    </row>
    <row r="20" spans="1:25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F20" s="1"/>
      <c r="G20" s="35"/>
      <c r="H20" s="35"/>
      <c r="I20" s="68"/>
      <c r="J20" s="18"/>
      <c r="O20" s="33"/>
      <c r="P20" s="33"/>
      <c r="R20" s="98" t="s">
        <v>53</v>
      </c>
      <c r="S20" s="60" t="s">
        <v>32</v>
      </c>
      <c r="T20" s="53" t="s">
        <v>47</v>
      </c>
      <c r="U20" s="49"/>
      <c r="W20" s="33"/>
      <c r="X20" s="126"/>
      <c r="Y20" s="67"/>
    </row>
    <row r="21" spans="1:25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50"/>
      <c r="F21" s="3"/>
      <c r="G21" s="34"/>
      <c r="H21" s="34"/>
      <c r="I21" s="71" t="s">
        <v>106</v>
      </c>
      <c r="O21" s="33"/>
      <c r="P21" s="33"/>
      <c r="R21" s="99" t="s">
        <v>53</v>
      </c>
      <c r="S21" s="61" t="s">
        <v>33</v>
      </c>
      <c r="T21" s="55" t="s">
        <v>47</v>
      </c>
      <c r="U21" s="51"/>
      <c r="V21" s="77"/>
      <c r="W21" s="35"/>
      <c r="X21" s="124"/>
      <c r="Y21" s="68"/>
    </row>
    <row r="22" spans="1:25" ht="17.149999999999999" customHeight="1" x14ac:dyDescent="0.35">
      <c r="A22" s="169"/>
      <c r="B22" s="101" t="s">
        <v>13</v>
      </c>
      <c r="C22" s="8" t="s">
        <v>55</v>
      </c>
      <c r="D22" s="53" t="s">
        <v>57</v>
      </c>
      <c r="E22" s="49"/>
      <c r="G22" s="33"/>
      <c r="H22" s="33"/>
      <c r="I22" s="67"/>
      <c r="O22" s="33"/>
      <c r="P22" s="33"/>
      <c r="R22" s="95" t="s">
        <v>74</v>
      </c>
      <c r="S22" t="s">
        <v>74</v>
      </c>
      <c r="T22" s="49" t="s">
        <v>47</v>
      </c>
      <c r="U22" s="50"/>
      <c r="W22" s="33"/>
      <c r="X22" s="126"/>
      <c r="Y22" s="67" t="s">
        <v>106</v>
      </c>
    </row>
    <row r="23" spans="1:25" ht="17.149999999999999" customHeight="1" x14ac:dyDescent="0.35">
      <c r="A23" s="169"/>
      <c r="B23" s="101" t="s">
        <v>13</v>
      </c>
      <c r="C23" s="21" t="s">
        <v>56</v>
      </c>
      <c r="D23" s="55" t="s">
        <v>58</v>
      </c>
      <c r="E23" s="51"/>
      <c r="F23" s="1"/>
      <c r="G23" s="35"/>
      <c r="H23" s="35"/>
      <c r="I23" s="68"/>
      <c r="O23" s="33"/>
      <c r="P23" s="33"/>
      <c r="R23" s="95" t="s">
        <v>74</v>
      </c>
      <c r="S23" s="14" t="s">
        <v>75</v>
      </c>
      <c r="T23" s="49" t="s">
        <v>57</v>
      </c>
      <c r="U23" s="49"/>
      <c r="W23" s="33"/>
      <c r="X23" s="126"/>
      <c r="Y23" s="67"/>
    </row>
    <row r="24" spans="1:25" ht="17.149999999999999" customHeight="1" x14ac:dyDescent="0.35">
      <c r="A24" s="169"/>
      <c r="B24" s="101" t="s">
        <v>59</v>
      </c>
      <c r="C24" s="2" t="s">
        <v>59</v>
      </c>
      <c r="D24" s="54" t="s">
        <v>47</v>
      </c>
      <c r="F24" s="3"/>
      <c r="G24" s="34"/>
      <c r="H24" s="34"/>
      <c r="I24" s="71" t="s">
        <v>106</v>
      </c>
      <c r="O24" s="33"/>
      <c r="P24" s="33"/>
      <c r="R24" s="95" t="s">
        <v>74</v>
      </c>
      <c r="S24" s="14" t="s">
        <v>76</v>
      </c>
      <c r="T24" s="49" t="s">
        <v>58</v>
      </c>
      <c r="U24" s="49"/>
      <c r="W24" s="33"/>
      <c r="X24" s="126"/>
      <c r="Y24" s="67"/>
    </row>
    <row r="25" spans="1:25" ht="17.149999999999999" customHeight="1" x14ac:dyDescent="0.35">
      <c r="A25" s="169"/>
      <c r="B25" s="101" t="s">
        <v>59</v>
      </c>
      <c r="C25" s="8" t="s">
        <v>55</v>
      </c>
      <c r="D25" s="53" t="s">
        <v>57</v>
      </c>
      <c r="G25" s="33"/>
      <c r="H25" s="33"/>
      <c r="I25" s="67"/>
      <c r="O25" s="33"/>
      <c r="P25" s="33"/>
      <c r="R25" s="95" t="s">
        <v>74</v>
      </c>
      <c r="S25" s="23" t="s">
        <v>81</v>
      </c>
      <c r="T25" s="49" t="s">
        <v>47</v>
      </c>
      <c r="U25" s="49"/>
      <c r="W25" s="33"/>
      <c r="X25" s="126"/>
      <c r="Y25" s="67"/>
    </row>
    <row r="26" spans="1:25" ht="17.149999999999999" customHeight="1" x14ac:dyDescent="0.35">
      <c r="A26" s="169"/>
      <c r="B26" s="101" t="s">
        <v>59</v>
      </c>
      <c r="C26" s="8" t="s">
        <v>56</v>
      </c>
      <c r="D26" s="53" t="s">
        <v>58</v>
      </c>
      <c r="G26" s="33"/>
      <c r="H26" s="33"/>
      <c r="I26" s="67"/>
      <c r="O26" s="33"/>
      <c r="P26" s="33"/>
      <c r="R26" s="95" t="s">
        <v>74</v>
      </c>
      <c r="S26" s="23" t="s">
        <v>64</v>
      </c>
      <c r="T26" s="49" t="s">
        <v>47</v>
      </c>
      <c r="U26" s="49"/>
      <c r="W26" s="33"/>
      <c r="X26" s="126"/>
      <c r="Y26" s="67"/>
    </row>
    <row r="27" spans="1:25" ht="17.149999999999999" customHeight="1" x14ac:dyDescent="0.35">
      <c r="A27" s="169"/>
      <c r="B27" s="101" t="s">
        <v>59</v>
      </c>
      <c r="C27" s="8" t="s">
        <v>60</v>
      </c>
      <c r="D27" s="53" t="s">
        <v>47</v>
      </c>
      <c r="G27" s="33"/>
      <c r="H27" s="33"/>
      <c r="I27" s="67"/>
      <c r="J27" s="17"/>
      <c r="L27" s="6"/>
      <c r="O27" s="33"/>
      <c r="P27" s="33"/>
      <c r="Q27" s="13"/>
      <c r="R27" s="100" t="s">
        <v>146</v>
      </c>
      <c r="S27" s="3" t="s">
        <v>148</v>
      </c>
      <c r="T27" s="50" t="s">
        <v>47</v>
      </c>
      <c r="U27" s="50"/>
      <c r="V27" s="76"/>
      <c r="W27" s="34"/>
      <c r="X27" s="125"/>
      <c r="Y27" s="69" t="s">
        <v>106</v>
      </c>
    </row>
    <row r="28" spans="1:25" ht="17.149999999999999" customHeight="1" x14ac:dyDescent="0.35">
      <c r="A28" s="169"/>
      <c r="B28" s="101" t="s">
        <v>59</v>
      </c>
      <c r="C28" s="8" t="s">
        <v>61</v>
      </c>
      <c r="D28" s="53" t="s">
        <v>47</v>
      </c>
      <c r="G28" s="33"/>
      <c r="H28" s="33"/>
      <c r="I28" s="67"/>
      <c r="J28" s="17"/>
      <c r="O28" s="33"/>
      <c r="P28" s="33"/>
      <c r="Q28" s="13"/>
      <c r="R28" s="95" t="s">
        <v>146</v>
      </c>
      <c r="S28" s="14" t="s">
        <v>75</v>
      </c>
      <c r="T28" s="49" t="s">
        <v>57</v>
      </c>
      <c r="U28" s="49"/>
      <c r="W28" s="33"/>
      <c r="X28" s="126"/>
      <c r="Y28" s="67"/>
    </row>
    <row r="29" spans="1:25" ht="17.149999999999999" customHeight="1" x14ac:dyDescent="0.35">
      <c r="A29" s="169"/>
      <c r="B29" s="101" t="s">
        <v>59</v>
      </c>
      <c r="C29" s="8" t="s">
        <v>62</v>
      </c>
      <c r="D29" s="53" t="s">
        <v>47</v>
      </c>
      <c r="G29" s="33"/>
      <c r="H29" s="33"/>
      <c r="I29" s="67"/>
      <c r="J29" s="17"/>
      <c r="L29" s="6"/>
      <c r="O29" s="33"/>
      <c r="P29" s="33"/>
      <c r="Q29" s="13"/>
      <c r="R29" s="96" t="s">
        <v>146</v>
      </c>
      <c r="S29" s="22" t="s">
        <v>76</v>
      </c>
      <c r="T29" s="51" t="s">
        <v>58</v>
      </c>
      <c r="U29" s="51"/>
      <c r="V29" s="77"/>
      <c r="W29" s="35"/>
      <c r="X29" s="124"/>
      <c r="Y29" s="68"/>
    </row>
    <row r="30" spans="1:25" ht="17.149999999999999" customHeight="1" x14ac:dyDescent="0.35">
      <c r="A30" s="169"/>
      <c r="B30" s="101" t="s">
        <v>59</v>
      </c>
      <c r="C30" s="8" t="s">
        <v>63</v>
      </c>
      <c r="D30" s="53" t="s">
        <v>47</v>
      </c>
      <c r="G30" s="33"/>
      <c r="H30" s="33"/>
      <c r="I30" s="67"/>
      <c r="J30" s="17"/>
      <c r="L30" s="6"/>
      <c r="O30" s="33"/>
      <c r="P30" s="33"/>
      <c r="Q30" s="13"/>
      <c r="R30" s="100" t="s">
        <v>147</v>
      </c>
      <c r="S30" s="3" t="s">
        <v>149</v>
      </c>
      <c r="T30" s="50" t="s">
        <v>47</v>
      </c>
      <c r="U30" s="49"/>
      <c r="V30" s="76"/>
      <c r="W30" s="34"/>
      <c r="X30" s="125"/>
      <c r="Y30" s="69" t="s">
        <v>106</v>
      </c>
    </row>
    <row r="31" spans="1:25" ht="14.5" customHeight="1" x14ac:dyDescent="0.35">
      <c r="A31" s="169"/>
      <c r="B31" s="101" t="s">
        <v>59</v>
      </c>
      <c r="C31" s="8" t="s">
        <v>64</v>
      </c>
      <c r="D31" s="53" t="s">
        <v>47</v>
      </c>
      <c r="G31" s="33"/>
      <c r="H31" s="33"/>
      <c r="I31" s="67"/>
      <c r="J31" s="17"/>
      <c r="L31" s="6"/>
      <c r="O31" s="33"/>
      <c r="P31" s="33"/>
      <c r="Q31" s="13"/>
      <c r="R31" s="95" t="s">
        <v>147</v>
      </c>
      <c r="S31" s="14" t="s">
        <v>75</v>
      </c>
      <c r="T31" s="49" t="s">
        <v>57</v>
      </c>
      <c r="U31" s="49"/>
      <c r="W31" s="33"/>
      <c r="X31" s="126"/>
      <c r="Y31" s="67"/>
    </row>
    <row r="32" spans="1:25" ht="17.149999999999999" customHeight="1" x14ac:dyDescent="0.35">
      <c r="A32" s="169"/>
      <c r="B32" s="101" t="s">
        <v>59</v>
      </c>
      <c r="C32" s="8" t="s">
        <v>65</v>
      </c>
      <c r="D32" s="53" t="s">
        <v>47</v>
      </c>
      <c r="G32" s="33"/>
      <c r="H32" s="33"/>
      <c r="I32" s="67"/>
      <c r="J32" s="17"/>
      <c r="O32" s="33"/>
      <c r="P32" s="33"/>
      <c r="Q32" s="13"/>
      <c r="R32" s="96" t="s">
        <v>147</v>
      </c>
      <c r="S32" s="22" t="s">
        <v>76</v>
      </c>
      <c r="T32" s="51" t="s">
        <v>58</v>
      </c>
      <c r="U32" s="51"/>
      <c r="V32" s="77"/>
      <c r="W32" s="35"/>
      <c r="X32" s="124"/>
      <c r="Y32" s="68"/>
    </row>
    <row r="33" spans="1:25" ht="14.5" customHeight="1" x14ac:dyDescent="0.35">
      <c r="A33" s="169"/>
      <c r="B33" s="101" t="s">
        <v>59</v>
      </c>
      <c r="C33" s="8" t="s">
        <v>66</v>
      </c>
      <c r="D33" s="53" t="s">
        <v>47</v>
      </c>
      <c r="G33" s="33"/>
      <c r="H33" s="33"/>
      <c r="I33" s="67"/>
      <c r="J33" s="17"/>
      <c r="O33" s="33"/>
      <c r="P33" s="33"/>
      <c r="Q33" s="13"/>
      <c r="W33" s="33"/>
      <c r="X33" s="33"/>
    </row>
    <row r="34" spans="1:25" ht="17.149999999999999" customHeight="1" x14ac:dyDescent="0.35">
      <c r="A34" s="169"/>
      <c r="B34" s="101" t="s">
        <v>59</v>
      </c>
      <c r="C34" s="21" t="s">
        <v>67</v>
      </c>
      <c r="D34" s="55" t="s">
        <v>47</v>
      </c>
      <c r="F34" s="1"/>
      <c r="G34" s="35"/>
      <c r="H34" s="35"/>
      <c r="I34" s="68"/>
      <c r="J34" s="18"/>
      <c r="O34" s="33"/>
      <c r="P34" s="33"/>
      <c r="Q34" s="13"/>
      <c r="W34" s="33"/>
      <c r="X34" s="33"/>
    </row>
    <row r="35" spans="1:25" ht="17.149999999999999" customHeight="1" x14ac:dyDescent="0.35">
      <c r="A35" s="169"/>
      <c r="B35" s="101" t="s">
        <v>68</v>
      </c>
      <c r="C35" t="s">
        <v>69</v>
      </c>
      <c r="D35" s="53" t="s">
        <v>47</v>
      </c>
      <c r="E35" s="50"/>
      <c r="G35" s="33"/>
      <c r="H35" s="33"/>
      <c r="I35" s="71" t="s">
        <v>106</v>
      </c>
      <c r="J35" s="18"/>
      <c r="O35" s="33"/>
      <c r="P35" s="33"/>
      <c r="Q35" s="13"/>
      <c r="W35" s="33"/>
      <c r="X35" s="33"/>
    </row>
    <row r="36" spans="1:25" ht="17.149999999999999" customHeight="1" x14ac:dyDescent="0.35">
      <c r="A36" s="169"/>
      <c r="B36" s="101" t="s">
        <v>68</v>
      </c>
      <c r="C36" s="14" t="s">
        <v>55</v>
      </c>
      <c r="D36" s="53" t="s">
        <v>57</v>
      </c>
      <c r="G36" s="33"/>
      <c r="H36" s="33"/>
      <c r="I36" s="67"/>
      <c r="J36" s="18"/>
      <c r="O36" s="33"/>
      <c r="P36" s="33"/>
      <c r="Q36" s="13"/>
      <c r="W36" s="33"/>
      <c r="X36" s="33"/>
    </row>
    <row r="37" spans="1:25" ht="17.149999999999999" customHeight="1" x14ac:dyDescent="0.35">
      <c r="A37" s="169"/>
      <c r="B37" s="101" t="s">
        <v>68</v>
      </c>
      <c r="C37" s="14" t="s">
        <v>56</v>
      </c>
      <c r="D37" s="53" t="s">
        <v>58</v>
      </c>
      <c r="G37" s="33"/>
      <c r="H37" s="33"/>
      <c r="I37" s="67"/>
      <c r="J37" s="18"/>
      <c r="O37" s="33"/>
      <c r="P37" s="33"/>
      <c r="Q37" s="13"/>
      <c r="R37" s="18"/>
      <c r="W37" s="33"/>
      <c r="X37" s="33"/>
      <c r="Y37" s="13"/>
    </row>
    <row r="38" spans="1:25" ht="17.149999999999999" customHeight="1" x14ac:dyDescent="0.35">
      <c r="A38" s="169"/>
      <c r="B38" s="101" t="s">
        <v>68</v>
      </c>
      <c r="C38" s="14" t="s">
        <v>60</v>
      </c>
      <c r="D38" s="53" t="s">
        <v>47</v>
      </c>
      <c r="G38" s="33"/>
      <c r="H38" s="33"/>
      <c r="I38" s="67"/>
      <c r="J38" s="18"/>
      <c r="O38" s="33"/>
      <c r="P38" s="33"/>
      <c r="Q38" s="13"/>
      <c r="R38" s="18"/>
      <c r="W38" s="33"/>
      <c r="X38" s="33"/>
      <c r="Y38" s="13"/>
    </row>
    <row r="39" spans="1:25" ht="17.149999999999999" customHeight="1" x14ac:dyDescent="0.35">
      <c r="A39" s="169"/>
      <c r="B39" s="101" t="s">
        <v>68</v>
      </c>
      <c r="C39" s="14" t="s">
        <v>77</v>
      </c>
      <c r="D39" s="53" t="s">
        <v>47</v>
      </c>
      <c r="G39" s="33"/>
      <c r="H39" s="33"/>
      <c r="I39" s="67"/>
      <c r="J39" s="18"/>
      <c r="O39" s="33"/>
      <c r="P39" s="33"/>
      <c r="Q39" s="13"/>
      <c r="R39" s="18"/>
      <c r="W39" s="33"/>
      <c r="X39" s="33"/>
      <c r="Y39" s="13"/>
    </row>
    <row r="40" spans="1:25" ht="17.149999999999999" customHeight="1" x14ac:dyDescent="0.35">
      <c r="A40" s="169"/>
      <c r="B40" s="101" t="s">
        <v>68</v>
      </c>
      <c r="C40" s="14" t="s">
        <v>62</v>
      </c>
      <c r="D40" s="53" t="s">
        <v>47</v>
      </c>
      <c r="G40" s="33"/>
      <c r="H40" s="33"/>
      <c r="I40" s="67"/>
      <c r="J40" s="18"/>
      <c r="O40" s="33"/>
      <c r="P40" s="33"/>
      <c r="Q40" s="13"/>
      <c r="R40" s="18"/>
      <c r="W40" s="33"/>
      <c r="X40" s="33"/>
      <c r="Y40" s="13"/>
    </row>
    <row r="41" spans="1:25" ht="17.149999999999999" customHeight="1" x14ac:dyDescent="0.35">
      <c r="A41" s="169"/>
      <c r="B41" s="101" t="s">
        <v>68</v>
      </c>
      <c r="C41" s="14" t="s">
        <v>63</v>
      </c>
      <c r="D41" s="53" t="s">
        <v>47</v>
      </c>
      <c r="G41" s="33"/>
      <c r="H41" s="33"/>
      <c r="I41" s="67"/>
      <c r="J41" s="18"/>
      <c r="O41" s="33"/>
      <c r="P41" s="33"/>
      <c r="Q41" s="13"/>
      <c r="R41" s="18"/>
      <c r="W41" s="33"/>
      <c r="X41" s="33"/>
      <c r="Y41" s="13"/>
    </row>
    <row r="42" spans="1:25" ht="17.149999999999999" customHeight="1" x14ac:dyDescent="0.35">
      <c r="A42" s="169"/>
      <c r="B42" s="101" t="s">
        <v>68</v>
      </c>
      <c r="C42" s="14" t="s">
        <v>64</v>
      </c>
      <c r="D42" s="53" t="s">
        <v>47</v>
      </c>
      <c r="G42" s="33"/>
      <c r="H42" s="33"/>
      <c r="I42" s="67"/>
      <c r="J42" s="18"/>
      <c r="O42" s="33"/>
      <c r="P42" s="33"/>
      <c r="Q42" s="13"/>
      <c r="R42" s="18"/>
      <c r="W42" s="33"/>
      <c r="X42" s="33"/>
      <c r="Y42" s="13"/>
    </row>
    <row r="43" spans="1:25" ht="17.149999999999999" customHeight="1" x14ac:dyDescent="0.35">
      <c r="A43" s="169"/>
      <c r="B43" s="101" t="s">
        <v>68</v>
      </c>
      <c r="C43" s="14" t="s">
        <v>65</v>
      </c>
      <c r="D43" s="53" t="s">
        <v>47</v>
      </c>
      <c r="G43" s="33"/>
      <c r="H43" s="33"/>
      <c r="I43" s="67"/>
      <c r="J43" s="18"/>
      <c r="O43" s="33"/>
      <c r="P43" s="33"/>
      <c r="Q43" s="13"/>
      <c r="R43" s="18"/>
      <c r="T43" s="6"/>
      <c r="W43" s="33"/>
      <c r="X43" s="33"/>
      <c r="Y43" s="13"/>
    </row>
    <row r="44" spans="1:25" ht="17.149999999999999" customHeight="1" x14ac:dyDescent="0.35">
      <c r="A44" s="169"/>
      <c r="B44" s="101" t="s">
        <v>68</v>
      </c>
      <c r="C44" s="14" t="s">
        <v>66</v>
      </c>
      <c r="D44" s="53" t="s">
        <v>47</v>
      </c>
      <c r="G44" s="33"/>
      <c r="H44" s="33"/>
      <c r="I44" s="67"/>
      <c r="J44" s="18"/>
      <c r="O44" s="33"/>
      <c r="P44" s="33"/>
      <c r="Q44" s="13"/>
      <c r="R44" s="18"/>
      <c r="T44" s="6"/>
      <c r="W44" s="33"/>
      <c r="X44" s="33"/>
      <c r="Y44" s="13"/>
    </row>
    <row r="45" spans="1:25" ht="17.149999999999999" customHeight="1" x14ac:dyDescent="0.35">
      <c r="A45" s="169"/>
      <c r="B45" s="101" t="s">
        <v>68</v>
      </c>
      <c r="C45" s="14" t="s">
        <v>67</v>
      </c>
      <c r="D45" s="53" t="s">
        <v>47</v>
      </c>
      <c r="G45" s="33"/>
      <c r="H45" s="33"/>
      <c r="I45" s="67"/>
      <c r="J45" s="18"/>
      <c r="O45" s="33"/>
      <c r="P45" s="33"/>
      <c r="Q45" s="13"/>
      <c r="R45" s="18"/>
      <c r="T45" s="6"/>
      <c r="W45" s="33"/>
      <c r="X45" s="33"/>
      <c r="Y45" s="13"/>
    </row>
    <row r="46" spans="1:25" ht="14.5" customHeight="1" x14ac:dyDescent="0.35">
      <c r="A46" s="169"/>
      <c r="B46" s="101" t="s">
        <v>68</v>
      </c>
      <c r="C46" s="14" t="s">
        <v>70</v>
      </c>
      <c r="D46" s="53" t="s">
        <v>47</v>
      </c>
      <c r="G46" s="33"/>
      <c r="H46" s="33"/>
      <c r="I46" s="67"/>
      <c r="J46" s="18"/>
      <c r="O46" s="33"/>
      <c r="P46" s="33"/>
      <c r="Q46" s="13"/>
      <c r="R46" s="18"/>
      <c r="T46" s="6"/>
      <c r="W46" s="33"/>
      <c r="X46" s="33"/>
      <c r="Y46" s="13"/>
    </row>
    <row r="47" spans="1:25" ht="17.149999999999999" customHeight="1" x14ac:dyDescent="0.35">
      <c r="A47" s="169"/>
      <c r="B47" s="101" t="s">
        <v>68</v>
      </c>
      <c r="C47" s="14" t="s">
        <v>71</v>
      </c>
      <c r="D47" s="53" t="s">
        <v>47</v>
      </c>
      <c r="G47" s="33"/>
      <c r="H47" s="33"/>
      <c r="I47" s="67"/>
      <c r="J47" s="18"/>
      <c r="O47" s="33"/>
      <c r="P47" s="33"/>
      <c r="Q47" s="13"/>
      <c r="R47" s="18"/>
      <c r="T47" s="6"/>
      <c r="W47" s="33"/>
      <c r="X47" s="33"/>
      <c r="Y47" s="13"/>
    </row>
    <row r="48" spans="1:25" ht="17.149999999999999" customHeight="1" x14ac:dyDescent="0.35">
      <c r="A48" s="169"/>
      <c r="B48" s="101" t="s">
        <v>68</v>
      </c>
      <c r="C48" s="14" t="s">
        <v>72</v>
      </c>
      <c r="D48" s="53" t="s">
        <v>36</v>
      </c>
      <c r="G48" s="33"/>
      <c r="H48" s="33"/>
      <c r="I48" s="67"/>
      <c r="J48" s="18"/>
      <c r="O48" s="33"/>
      <c r="P48" s="33"/>
      <c r="Q48" s="13"/>
      <c r="R48" s="18"/>
      <c r="W48" s="33"/>
      <c r="X48" s="33"/>
      <c r="Y48" s="13"/>
    </row>
    <row r="49" spans="1:25" ht="17.149999999999999" customHeight="1" thickBot="1" x14ac:dyDescent="0.4">
      <c r="A49" s="170"/>
      <c r="B49" s="108" t="s">
        <v>68</v>
      </c>
      <c r="C49" s="20" t="s">
        <v>73</v>
      </c>
      <c r="D49" s="56" t="s">
        <v>36</v>
      </c>
      <c r="E49" s="78"/>
      <c r="F49" s="15"/>
      <c r="G49" s="109"/>
      <c r="H49" s="109"/>
      <c r="I49" s="72"/>
      <c r="J49" s="18"/>
      <c r="O49" s="33"/>
      <c r="P49" s="33"/>
      <c r="Q49" s="13"/>
      <c r="R49" s="19"/>
      <c r="S49" s="15"/>
      <c r="T49" s="15"/>
      <c r="U49" s="78"/>
      <c r="V49" s="78"/>
      <c r="W49" s="109"/>
      <c r="X49" s="109"/>
      <c r="Y49" s="16"/>
    </row>
    <row r="50" spans="1:25" ht="14.5" customHeight="1" x14ac:dyDescent="0.35">
      <c r="A50" s="168" t="s">
        <v>80</v>
      </c>
      <c r="B50" s="103" t="s">
        <v>51</v>
      </c>
      <c r="C50" t="s">
        <v>115</v>
      </c>
      <c r="D50" s="53" t="s">
        <v>47</v>
      </c>
      <c r="E50" s="6">
        <v>0</v>
      </c>
      <c r="H50" s="33"/>
      <c r="I50" s="67"/>
      <c r="J50" s="89" t="s">
        <v>54</v>
      </c>
      <c r="K50" s="12" t="s">
        <v>38</v>
      </c>
      <c r="L50" s="52" t="s">
        <v>36</v>
      </c>
      <c r="M50" s="75">
        <v>0</v>
      </c>
      <c r="N50" s="12"/>
      <c r="O50" s="12"/>
      <c r="P50" s="32"/>
      <c r="Q50" s="66"/>
      <c r="R50" s="95" t="s">
        <v>51</v>
      </c>
      <c r="S50" t="s">
        <v>3</v>
      </c>
      <c r="T50" s="49" t="s">
        <v>47</v>
      </c>
      <c r="U50" s="73">
        <v>0</v>
      </c>
      <c r="X50" s="33"/>
      <c r="Y50" s="67"/>
    </row>
    <row r="51" spans="1:25" ht="14.5" customHeight="1" x14ac:dyDescent="0.35">
      <c r="A51" s="169"/>
      <c r="B51" s="92" t="s">
        <v>51</v>
      </c>
      <c r="C51" t="s">
        <v>48</v>
      </c>
      <c r="D51" s="53" t="s">
        <v>47</v>
      </c>
      <c r="H51" s="33"/>
      <c r="I51" s="67"/>
      <c r="J51" s="88" t="s">
        <v>54</v>
      </c>
      <c r="K51" t="s">
        <v>39</v>
      </c>
      <c r="L51" s="53" t="s">
        <v>36</v>
      </c>
      <c r="P51" s="33"/>
      <c r="Q51" s="67"/>
      <c r="R51" s="95" t="s">
        <v>51</v>
      </c>
      <c r="S51" t="s">
        <v>50</v>
      </c>
      <c r="T51" s="49" t="s">
        <v>47</v>
      </c>
      <c r="U51" s="49"/>
      <c r="X51" s="33"/>
      <c r="Y51" s="67"/>
    </row>
    <row r="52" spans="1:25" ht="14.5" customHeight="1" x14ac:dyDescent="0.35">
      <c r="A52" s="169"/>
      <c r="B52" s="92" t="s">
        <v>51</v>
      </c>
      <c r="C52" t="s">
        <v>49</v>
      </c>
      <c r="D52" s="53" t="s">
        <v>47</v>
      </c>
      <c r="H52" s="33"/>
      <c r="I52" s="67"/>
      <c r="J52" s="88" t="s">
        <v>54</v>
      </c>
      <c r="K52" t="s">
        <v>40</v>
      </c>
      <c r="L52" s="53" t="s">
        <v>36</v>
      </c>
      <c r="P52" s="33"/>
      <c r="Q52" s="67"/>
      <c r="R52" s="95" t="s">
        <v>51</v>
      </c>
      <c r="S52" t="s">
        <v>26</v>
      </c>
      <c r="T52" s="49" t="s">
        <v>47</v>
      </c>
      <c r="U52" s="49"/>
      <c r="X52" s="33"/>
      <c r="Y52" s="67"/>
    </row>
    <row r="53" spans="1:25" ht="14.5" customHeight="1" x14ac:dyDescent="0.35">
      <c r="A53" s="169"/>
      <c r="B53" s="92" t="s">
        <v>51</v>
      </c>
      <c r="C53" t="s">
        <v>22</v>
      </c>
      <c r="D53" s="53" t="s">
        <v>47</v>
      </c>
      <c r="H53" s="33"/>
      <c r="I53" s="67"/>
      <c r="J53" s="88" t="s">
        <v>54</v>
      </c>
      <c r="K53" t="s">
        <v>41</v>
      </c>
      <c r="L53" s="53" t="s">
        <v>36</v>
      </c>
      <c r="P53" s="33"/>
      <c r="Q53" s="67"/>
      <c r="R53" s="95" t="s">
        <v>51</v>
      </c>
      <c r="S53" t="s">
        <v>4</v>
      </c>
      <c r="T53" s="49" t="s">
        <v>47</v>
      </c>
      <c r="U53" s="49"/>
      <c r="X53" s="33"/>
      <c r="Y53" s="67"/>
    </row>
    <row r="54" spans="1:25" ht="14.5" customHeight="1" x14ac:dyDescent="0.35">
      <c r="A54" s="169"/>
      <c r="B54" s="92" t="s">
        <v>51</v>
      </c>
      <c r="C54" t="s">
        <v>23</v>
      </c>
      <c r="D54" s="53" t="s">
        <v>47</v>
      </c>
      <c r="H54" s="33"/>
      <c r="I54" s="67"/>
      <c r="J54" s="88" t="s">
        <v>54</v>
      </c>
      <c r="K54" t="s">
        <v>42</v>
      </c>
      <c r="L54" s="53" t="s">
        <v>36</v>
      </c>
      <c r="P54" s="33"/>
      <c r="Q54" s="67"/>
      <c r="R54" s="95" t="s">
        <v>51</v>
      </c>
      <c r="S54" t="s">
        <v>5</v>
      </c>
      <c r="T54" s="49" t="s">
        <v>47</v>
      </c>
      <c r="U54" s="49"/>
      <c r="X54" s="33"/>
      <c r="Y54" s="67"/>
    </row>
    <row r="55" spans="1:25" ht="14.5" customHeight="1" x14ac:dyDescent="0.35">
      <c r="A55" s="169"/>
      <c r="B55" s="92" t="s">
        <v>51</v>
      </c>
      <c r="C55" t="s">
        <v>2</v>
      </c>
      <c r="D55" s="53" t="s">
        <v>47</v>
      </c>
      <c r="H55" s="33"/>
      <c r="I55" s="67"/>
      <c r="J55" s="88" t="s">
        <v>54</v>
      </c>
      <c r="K55" t="s">
        <v>43</v>
      </c>
      <c r="L55" s="53" t="s">
        <v>36</v>
      </c>
      <c r="P55" s="33"/>
      <c r="Q55" s="67"/>
      <c r="R55" s="95" t="s">
        <v>51</v>
      </c>
      <c r="S55" t="s">
        <v>6</v>
      </c>
      <c r="T55" s="49" t="s">
        <v>47</v>
      </c>
      <c r="U55" s="49"/>
      <c r="X55" s="33"/>
      <c r="Y55" s="67"/>
    </row>
    <row r="56" spans="1:25" ht="14.5" customHeight="1" x14ac:dyDescent="0.35">
      <c r="A56" s="169"/>
      <c r="B56" s="92" t="s">
        <v>51</v>
      </c>
      <c r="C56" t="s">
        <v>24</v>
      </c>
      <c r="D56" s="53" t="s">
        <v>47</v>
      </c>
      <c r="H56" s="33"/>
      <c r="I56" s="67"/>
      <c r="J56" s="88" t="s">
        <v>54</v>
      </c>
      <c r="K56" t="s">
        <v>44</v>
      </c>
      <c r="L56" s="53" t="s">
        <v>36</v>
      </c>
      <c r="P56" s="33"/>
      <c r="Q56" s="67"/>
      <c r="R56" s="95" t="s">
        <v>51</v>
      </c>
      <c r="S56" s="58" t="s">
        <v>7</v>
      </c>
      <c r="T56" s="49" t="s">
        <v>47</v>
      </c>
      <c r="U56" s="49"/>
      <c r="X56" s="33"/>
      <c r="Y56" s="67"/>
    </row>
    <row r="57" spans="1:25" ht="14.5" customHeight="1" x14ac:dyDescent="0.35">
      <c r="A57" s="169"/>
      <c r="B57" s="92" t="s">
        <v>51</v>
      </c>
      <c r="C57" t="s">
        <v>25</v>
      </c>
      <c r="D57" s="53" t="s">
        <v>47</v>
      </c>
      <c r="H57" s="33"/>
      <c r="I57" s="67"/>
      <c r="J57" s="88" t="s">
        <v>54</v>
      </c>
      <c r="K57" t="s">
        <v>45</v>
      </c>
      <c r="L57" s="53" t="s">
        <v>36</v>
      </c>
      <c r="P57" s="33"/>
      <c r="Q57" s="67"/>
      <c r="R57" s="96" t="s">
        <v>51</v>
      </c>
      <c r="S57" s="58" t="s">
        <v>8</v>
      </c>
      <c r="T57" s="49" t="s">
        <v>47</v>
      </c>
      <c r="U57" s="49"/>
      <c r="V57" s="77"/>
      <c r="W57" s="1"/>
      <c r="X57" s="35"/>
      <c r="Y57" s="68"/>
    </row>
    <row r="58" spans="1:25" ht="14.5" customHeight="1" x14ac:dyDescent="0.35">
      <c r="A58" s="169"/>
      <c r="B58" s="92" t="s">
        <v>51</v>
      </c>
      <c r="C58" t="s">
        <v>0</v>
      </c>
      <c r="D58" s="53" t="s">
        <v>36</v>
      </c>
      <c r="H58" s="33"/>
      <c r="I58" s="67"/>
      <c r="J58" s="90" t="s">
        <v>54</v>
      </c>
      <c r="K58" s="1" t="s">
        <v>46</v>
      </c>
      <c r="L58" s="55" t="s">
        <v>36</v>
      </c>
      <c r="P58" s="33"/>
      <c r="Q58" s="67"/>
      <c r="R58" s="97" t="s">
        <v>52</v>
      </c>
      <c r="S58" s="2" t="s">
        <v>10</v>
      </c>
      <c r="T58" s="50" t="s">
        <v>47</v>
      </c>
      <c r="U58" s="50"/>
      <c r="X58" s="33"/>
      <c r="Y58" s="67"/>
    </row>
    <row r="59" spans="1:25" ht="14.5" customHeight="1" x14ac:dyDescent="0.35">
      <c r="A59" s="169"/>
      <c r="B59" s="92" t="s">
        <v>51</v>
      </c>
      <c r="C59" t="s">
        <v>37</v>
      </c>
      <c r="D59" s="53" t="s">
        <v>36</v>
      </c>
      <c r="H59" s="33"/>
      <c r="I59" s="67"/>
      <c r="J59" s="101" t="s">
        <v>92</v>
      </c>
      <c r="K59" s="4" t="s">
        <v>90</v>
      </c>
      <c r="L59" s="62" t="s">
        <v>91</v>
      </c>
      <c r="M59" s="80"/>
      <c r="N59" s="4"/>
      <c r="O59" s="4"/>
      <c r="P59" s="36"/>
      <c r="Q59" s="70" t="s">
        <v>94</v>
      </c>
      <c r="R59" s="98" t="s">
        <v>52</v>
      </c>
      <c r="S59" s="60" t="s">
        <v>9</v>
      </c>
      <c r="T59" s="49" t="s">
        <v>47</v>
      </c>
      <c r="U59" s="49"/>
      <c r="X59" s="33"/>
      <c r="Y59" s="67"/>
    </row>
    <row r="60" spans="1:25" ht="14.5" customHeight="1" x14ac:dyDescent="0.35">
      <c r="A60" s="169"/>
      <c r="B60" s="92" t="s">
        <v>51</v>
      </c>
      <c r="C60" t="s">
        <v>150</v>
      </c>
      <c r="D60" s="53" t="s">
        <v>36</v>
      </c>
      <c r="H60" s="33"/>
      <c r="I60" s="67"/>
      <c r="J60" s="96" t="s">
        <v>93</v>
      </c>
      <c r="K60" s="1" t="s">
        <v>90</v>
      </c>
      <c r="L60" s="55" t="s">
        <v>91</v>
      </c>
      <c r="M60" s="77"/>
      <c r="N60" s="1"/>
      <c r="O60" s="1"/>
      <c r="P60" s="35"/>
      <c r="Q60" s="68" t="s">
        <v>94</v>
      </c>
      <c r="R60" s="99" t="s">
        <v>52</v>
      </c>
      <c r="S60" s="61" t="s">
        <v>27</v>
      </c>
      <c r="T60" s="51" t="s">
        <v>47</v>
      </c>
      <c r="U60" s="51"/>
      <c r="X60" s="33"/>
      <c r="Y60" s="67"/>
    </row>
    <row r="61" spans="1:25" ht="14.5" customHeight="1" x14ac:dyDescent="0.35">
      <c r="A61" s="169"/>
      <c r="B61" s="92" t="s">
        <v>51</v>
      </c>
      <c r="C61" t="s">
        <v>151</v>
      </c>
      <c r="D61" s="53" t="s">
        <v>36</v>
      </c>
      <c r="H61" s="33"/>
      <c r="I61" s="67"/>
      <c r="J61" s="101" t="s">
        <v>152</v>
      </c>
      <c r="K61" s="4" t="s">
        <v>153</v>
      </c>
      <c r="L61" s="62" t="s">
        <v>154</v>
      </c>
      <c r="M61" s="80"/>
      <c r="N61" s="4"/>
      <c r="O61" s="4"/>
      <c r="P61" s="132"/>
      <c r="Q61" s="131"/>
      <c r="R61" s="98" t="s">
        <v>53</v>
      </c>
      <c r="S61" s="57" t="s">
        <v>11</v>
      </c>
      <c r="T61" s="50" t="s">
        <v>47</v>
      </c>
      <c r="U61" s="49"/>
      <c r="V61" s="76"/>
      <c r="W61" s="3"/>
      <c r="X61" s="34"/>
      <c r="Y61" s="69"/>
    </row>
    <row r="62" spans="1:25" ht="14.5" customHeight="1" x14ac:dyDescent="0.35">
      <c r="A62" s="169"/>
      <c r="B62" s="92" t="s">
        <v>51</v>
      </c>
      <c r="C62" t="s">
        <v>155</v>
      </c>
      <c r="D62" s="53" t="s">
        <v>47</v>
      </c>
      <c r="H62" s="33"/>
      <c r="I62" s="67"/>
      <c r="J62" s="142"/>
      <c r="L62" s="6"/>
      <c r="P62" s="143"/>
      <c r="R62" s="98" t="s">
        <v>53</v>
      </c>
      <c r="S62" s="58" t="s">
        <v>12</v>
      </c>
      <c r="T62" s="49" t="s">
        <v>47</v>
      </c>
      <c r="U62" s="49"/>
      <c r="X62" s="33"/>
      <c r="Y62" s="67"/>
    </row>
    <row r="63" spans="1:25" ht="14.5" customHeight="1" x14ac:dyDescent="0.35">
      <c r="A63" s="169"/>
      <c r="B63" s="92" t="s">
        <v>51</v>
      </c>
      <c r="C63" t="s">
        <v>156</v>
      </c>
      <c r="D63" s="53" t="s">
        <v>47</v>
      </c>
      <c r="H63" s="33"/>
      <c r="I63" s="67"/>
      <c r="J63" s="142"/>
      <c r="L63" s="6"/>
      <c r="P63" s="143"/>
      <c r="R63" s="98" t="s">
        <v>53</v>
      </c>
      <c r="S63" s="58" t="s">
        <v>28</v>
      </c>
      <c r="T63" s="49" t="s">
        <v>47</v>
      </c>
      <c r="U63" s="49"/>
      <c r="X63" s="33"/>
      <c r="Y63" s="67"/>
    </row>
    <row r="64" spans="1:25" ht="14.5" customHeight="1" x14ac:dyDescent="0.35">
      <c r="A64" s="169"/>
      <c r="B64" s="93" t="s">
        <v>52</v>
      </c>
      <c r="C64" s="3" t="s">
        <v>9</v>
      </c>
      <c r="D64" s="54" t="s">
        <v>47</v>
      </c>
      <c r="E64" s="50"/>
      <c r="F64" s="3"/>
      <c r="G64" s="3"/>
      <c r="H64" s="34"/>
      <c r="I64" s="69"/>
      <c r="P64" s="33"/>
      <c r="R64" s="98" t="s">
        <v>53</v>
      </c>
      <c r="S64" s="58" t="s">
        <v>29</v>
      </c>
      <c r="T64" s="49" t="s">
        <v>47</v>
      </c>
      <c r="U64" s="49"/>
      <c r="X64" s="33"/>
      <c r="Y64" s="67"/>
    </row>
    <row r="65" spans="1:25" ht="14.5" customHeight="1" x14ac:dyDescent="0.35">
      <c r="A65" s="169"/>
      <c r="B65" s="93" t="s">
        <v>52</v>
      </c>
      <c r="C65" t="s">
        <v>27</v>
      </c>
      <c r="D65" s="53" t="s">
        <v>47</v>
      </c>
      <c r="E65" s="51"/>
      <c r="F65" s="1"/>
      <c r="G65" s="1"/>
      <c r="H65" s="35"/>
      <c r="I65" s="68"/>
      <c r="J65" s="18"/>
      <c r="P65" s="33"/>
      <c r="Q65" s="13"/>
      <c r="R65" s="98" t="s">
        <v>53</v>
      </c>
      <c r="S65" s="58" t="s">
        <v>30</v>
      </c>
      <c r="T65" s="49" t="s">
        <v>47</v>
      </c>
      <c r="U65" s="49"/>
      <c r="X65" s="33"/>
      <c r="Y65" s="67"/>
    </row>
    <row r="66" spans="1:25" ht="14.5" customHeight="1" x14ac:dyDescent="0.35">
      <c r="A66" s="169"/>
      <c r="B66" s="93" t="s">
        <v>53</v>
      </c>
      <c r="C66" s="3" t="s">
        <v>11</v>
      </c>
      <c r="D66" s="54" t="s">
        <v>47</v>
      </c>
      <c r="H66" s="33"/>
      <c r="I66" s="67"/>
      <c r="J66" s="18"/>
      <c r="P66" s="33"/>
      <c r="Q66" s="13"/>
      <c r="R66" s="98" t="s">
        <v>53</v>
      </c>
      <c r="S66" s="58" t="s">
        <v>31</v>
      </c>
      <c r="T66" s="49" t="s">
        <v>47</v>
      </c>
      <c r="U66" s="49"/>
      <c r="X66" s="33"/>
      <c r="Y66" s="67"/>
    </row>
    <row r="67" spans="1:25" ht="14.5" customHeight="1" x14ac:dyDescent="0.35">
      <c r="A67" s="169"/>
      <c r="B67" s="93" t="s">
        <v>53</v>
      </c>
      <c r="C67" s="1" t="s">
        <v>12</v>
      </c>
      <c r="D67" s="55" t="s">
        <v>47</v>
      </c>
      <c r="H67" s="33"/>
      <c r="I67" s="67"/>
      <c r="J67" s="18"/>
      <c r="P67" s="33"/>
      <c r="Q67" s="13"/>
      <c r="R67" s="98" t="s">
        <v>53</v>
      </c>
      <c r="S67" s="58" t="s">
        <v>32</v>
      </c>
      <c r="T67" s="49" t="s">
        <v>47</v>
      </c>
      <c r="U67" s="49"/>
      <c r="X67" s="33"/>
      <c r="Y67" s="67"/>
    </row>
    <row r="68" spans="1:25" ht="14.5" customHeight="1" x14ac:dyDescent="0.35">
      <c r="A68" s="169"/>
      <c r="B68" s="92" t="s">
        <v>13</v>
      </c>
      <c r="C68" s="2" t="s">
        <v>13</v>
      </c>
      <c r="D68" s="54" t="s">
        <v>47</v>
      </c>
      <c r="E68" s="50"/>
      <c r="F68" s="3"/>
      <c r="G68" s="3"/>
      <c r="H68" s="34"/>
      <c r="I68" s="71" t="s">
        <v>106</v>
      </c>
      <c r="J68" s="18"/>
      <c r="P68" s="33"/>
      <c r="Q68" s="13"/>
      <c r="R68" s="99" t="s">
        <v>53</v>
      </c>
      <c r="S68" s="59" t="s">
        <v>33</v>
      </c>
      <c r="T68" s="51" t="s">
        <v>47</v>
      </c>
      <c r="U68" s="49"/>
      <c r="V68" s="77"/>
      <c r="W68" s="1"/>
      <c r="X68" s="35"/>
      <c r="Y68" s="68"/>
    </row>
    <row r="69" spans="1:25" ht="14.5" customHeight="1" x14ac:dyDescent="0.35">
      <c r="A69" s="169"/>
      <c r="B69" s="92" t="s">
        <v>13</v>
      </c>
      <c r="C69" s="8" t="s">
        <v>55</v>
      </c>
      <c r="D69" s="53" t="s">
        <v>57</v>
      </c>
      <c r="E69" s="49"/>
      <c r="H69" s="33"/>
      <c r="I69" s="67"/>
      <c r="J69" s="17"/>
      <c r="P69" s="33"/>
      <c r="Q69" s="13"/>
      <c r="R69" s="95" t="s">
        <v>74</v>
      </c>
      <c r="S69" s="58" t="s">
        <v>74</v>
      </c>
      <c r="T69" s="49" t="s">
        <v>47</v>
      </c>
      <c r="U69" s="50"/>
      <c r="X69" s="33"/>
      <c r="Y69" s="67" t="s">
        <v>106</v>
      </c>
    </row>
    <row r="70" spans="1:25" ht="14.5" customHeight="1" x14ac:dyDescent="0.35">
      <c r="A70" s="169"/>
      <c r="B70" s="92" t="s">
        <v>13</v>
      </c>
      <c r="C70" s="21" t="s">
        <v>56</v>
      </c>
      <c r="D70" s="55" t="s">
        <v>58</v>
      </c>
      <c r="E70" s="51"/>
      <c r="F70" s="1"/>
      <c r="G70" s="1"/>
      <c r="H70" s="35"/>
      <c r="I70" s="68"/>
      <c r="J70" s="17"/>
      <c r="P70" s="33"/>
      <c r="Q70" s="13"/>
      <c r="R70" s="95" t="s">
        <v>74</v>
      </c>
      <c r="S70" s="63" t="s">
        <v>75</v>
      </c>
      <c r="T70" s="49" t="s">
        <v>57</v>
      </c>
      <c r="U70" s="49"/>
      <c r="X70" s="33"/>
      <c r="Y70" s="67"/>
    </row>
    <row r="71" spans="1:25" ht="14.5" customHeight="1" x14ac:dyDescent="0.35">
      <c r="A71" s="169"/>
      <c r="B71" s="92" t="s">
        <v>59</v>
      </c>
      <c r="C71" s="2" t="s">
        <v>59</v>
      </c>
      <c r="D71" s="53" t="s">
        <v>47</v>
      </c>
      <c r="F71" s="3"/>
      <c r="G71" s="3"/>
      <c r="H71" s="34"/>
      <c r="I71" s="71" t="s">
        <v>106</v>
      </c>
      <c r="J71" s="18"/>
      <c r="P71" s="33"/>
      <c r="Q71" s="13"/>
      <c r="R71" s="95" t="s">
        <v>74</v>
      </c>
      <c r="S71" s="63" t="s">
        <v>76</v>
      </c>
      <c r="T71" s="49" t="s">
        <v>58</v>
      </c>
      <c r="U71" s="49"/>
      <c r="X71" s="33"/>
      <c r="Y71" s="67"/>
    </row>
    <row r="72" spans="1:25" ht="14.5" customHeight="1" x14ac:dyDescent="0.35">
      <c r="A72" s="169"/>
      <c r="B72" s="92" t="s">
        <v>59</v>
      </c>
      <c r="C72" s="8" t="s">
        <v>55</v>
      </c>
      <c r="D72" s="53" t="s">
        <v>57</v>
      </c>
      <c r="H72" s="33"/>
      <c r="I72" s="67"/>
      <c r="J72" s="18"/>
      <c r="P72" s="33"/>
      <c r="Q72" s="13"/>
      <c r="R72" s="95" t="s">
        <v>74</v>
      </c>
      <c r="S72" s="64" t="s">
        <v>81</v>
      </c>
      <c r="T72" s="49" t="s">
        <v>47</v>
      </c>
      <c r="U72" s="49"/>
      <c r="X72" s="33"/>
      <c r="Y72" s="67"/>
    </row>
    <row r="73" spans="1:25" ht="14.5" customHeight="1" x14ac:dyDescent="0.35">
      <c r="A73" s="169"/>
      <c r="B73" s="92" t="s">
        <v>59</v>
      </c>
      <c r="C73" s="8" t="s">
        <v>56</v>
      </c>
      <c r="D73" s="53" t="s">
        <v>58</v>
      </c>
      <c r="H73" s="33"/>
      <c r="I73" s="67"/>
      <c r="J73" s="18"/>
      <c r="P73" s="33"/>
      <c r="Q73" s="13"/>
      <c r="R73" s="95" t="s">
        <v>74</v>
      </c>
      <c r="S73" s="64" t="s">
        <v>64</v>
      </c>
      <c r="T73" s="49" t="s">
        <v>47</v>
      </c>
      <c r="U73" s="51"/>
      <c r="X73" s="33"/>
      <c r="Y73" s="67"/>
    </row>
    <row r="74" spans="1:25" ht="14.5" customHeight="1" x14ac:dyDescent="0.35">
      <c r="A74" s="169"/>
      <c r="B74" s="92" t="s">
        <v>59</v>
      </c>
      <c r="C74" s="8" t="s">
        <v>60</v>
      </c>
      <c r="D74" s="53" t="s">
        <v>47</v>
      </c>
      <c r="H74" s="33"/>
      <c r="I74" s="67"/>
      <c r="J74" s="17"/>
      <c r="L74" s="6"/>
      <c r="P74" s="33"/>
      <c r="Q74" s="13"/>
      <c r="R74" s="100" t="s">
        <v>146</v>
      </c>
      <c r="S74" s="3" t="s">
        <v>148</v>
      </c>
      <c r="T74" s="50" t="s">
        <v>47</v>
      </c>
      <c r="U74" s="49"/>
      <c r="V74" s="76"/>
      <c r="W74" s="3"/>
      <c r="X74" s="34"/>
      <c r="Y74" s="69" t="s">
        <v>106</v>
      </c>
    </row>
    <row r="75" spans="1:25" ht="14.5" customHeight="1" x14ac:dyDescent="0.35">
      <c r="A75" s="169"/>
      <c r="B75" s="92" t="s">
        <v>59</v>
      </c>
      <c r="C75" s="8" t="s">
        <v>61</v>
      </c>
      <c r="D75" s="53" t="s">
        <v>47</v>
      </c>
      <c r="H75" s="33"/>
      <c r="I75" s="67"/>
      <c r="J75" s="17"/>
      <c r="P75" s="33"/>
      <c r="Q75" s="13"/>
      <c r="R75" s="95" t="s">
        <v>146</v>
      </c>
      <c r="S75" s="14" t="s">
        <v>75</v>
      </c>
      <c r="T75" s="49" t="s">
        <v>57</v>
      </c>
      <c r="U75" s="49"/>
      <c r="X75" s="33"/>
      <c r="Y75" s="67"/>
    </row>
    <row r="76" spans="1:25" ht="14.5" customHeight="1" x14ac:dyDescent="0.35">
      <c r="A76" s="169"/>
      <c r="B76" s="92" t="s">
        <v>59</v>
      </c>
      <c r="C76" s="8" t="s">
        <v>62</v>
      </c>
      <c r="D76" s="53" t="s">
        <v>47</v>
      </c>
      <c r="H76" s="33"/>
      <c r="I76" s="67"/>
      <c r="J76" s="17"/>
      <c r="L76" s="6"/>
      <c r="P76" s="33"/>
      <c r="Q76" s="13"/>
      <c r="R76" s="96" t="s">
        <v>146</v>
      </c>
      <c r="S76" s="22" t="s">
        <v>76</v>
      </c>
      <c r="T76" s="51" t="s">
        <v>58</v>
      </c>
      <c r="U76" s="49"/>
      <c r="V76" s="77"/>
      <c r="W76" s="1"/>
      <c r="X76" s="35"/>
      <c r="Y76" s="68"/>
    </row>
    <row r="77" spans="1:25" ht="14.5" customHeight="1" x14ac:dyDescent="0.35">
      <c r="A77" s="169"/>
      <c r="B77" s="92" t="s">
        <v>59</v>
      </c>
      <c r="C77" s="8" t="s">
        <v>63</v>
      </c>
      <c r="D77" s="53" t="s">
        <v>47</v>
      </c>
      <c r="H77" s="33"/>
      <c r="I77" s="67"/>
      <c r="J77" s="17"/>
      <c r="L77" s="6"/>
      <c r="P77" s="33"/>
      <c r="Q77" s="13"/>
      <c r="R77" s="100" t="s">
        <v>147</v>
      </c>
      <c r="S77" s="3" t="s">
        <v>149</v>
      </c>
      <c r="T77" s="50" t="s">
        <v>47</v>
      </c>
      <c r="U77" s="50"/>
      <c r="V77" s="76"/>
      <c r="W77" s="3"/>
      <c r="X77" s="34"/>
      <c r="Y77" s="69" t="s">
        <v>106</v>
      </c>
    </row>
    <row r="78" spans="1:25" ht="14.5" customHeight="1" x14ac:dyDescent="0.35">
      <c r="A78" s="169"/>
      <c r="B78" s="92" t="s">
        <v>59</v>
      </c>
      <c r="C78" s="8" t="s">
        <v>64</v>
      </c>
      <c r="D78" s="53" t="s">
        <v>47</v>
      </c>
      <c r="H78" s="33"/>
      <c r="I78" s="67"/>
      <c r="J78" s="17"/>
      <c r="L78" s="6"/>
      <c r="P78" s="33"/>
      <c r="Q78" s="13"/>
      <c r="R78" s="95" t="s">
        <v>147</v>
      </c>
      <c r="S78" s="14" t="s">
        <v>75</v>
      </c>
      <c r="T78" s="49" t="s">
        <v>57</v>
      </c>
      <c r="U78" s="49"/>
      <c r="X78" s="33"/>
      <c r="Y78" s="67"/>
    </row>
    <row r="79" spans="1:25" ht="14.5" customHeight="1" x14ac:dyDescent="0.35">
      <c r="A79" s="169"/>
      <c r="B79" s="92" t="s">
        <v>59</v>
      </c>
      <c r="C79" s="8" t="s">
        <v>65</v>
      </c>
      <c r="D79" s="53" t="s">
        <v>47</v>
      </c>
      <c r="H79" s="33"/>
      <c r="I79" s="67"/>
      <c r="J79" s="17"/>
      <c r="P79" s="33"/>
      <c r="Q79" s="13"/>
      <c r="R79" s="96" t="s">
        <v>147</v>
      </c>
      <c r="S79" s="22" t="s">
        <v>76</v>
      </c>
      <c r="T79" s="51" t="s">
        <v>58</v>
      </c>
      <c r="U79" s="51"/>
      <c r="V79" s="77"/>
      <c r="W79" s="1"/>
      <c r="X79" s="35"/>
      <c r="Y79" s="68"/>
    </row>
    <row r="80" spans="1:25" ht="14.5" customHeight="1" x14ac:dyDescent="0.35">
      <c r="A80" s="169"/>
      <c r="B80" s="92" t="s">
        <v>59</v>
      </c>
      <c r="C80" s="8" t="s">
        <v>66</v>
      </c>
      <c r="D80" s="53" t="s">
        <v>47</v>
      </c>
      <c r="H80" s="33"/>
      <c r="I80" s="67"/>
      <c r="J80" s="17"/>
      <c r="P80" s="33"/>
      <c r="Q80" s="13"/>
      <c r="X80" s="33"/>
    </row>
    <row r="81" spans="1:25" ht="14.5" customHeight="1" x14ac:dyDescent="0.35">
      <c r="A81" s="169"/>
      <c r="B81" s="92" t="s">
        <v>59</v>
      </c>
      <c r="C81" s="21" t="s">
        <v>67</v>
      </c>
      <c r="D81" s="55" t="s">
        <v>47</v>
      </c>
      <c r="F81" s="1"/>
      <c r="G81" s="1"/>
      <c r="H81" s="35"/>
      <c r="I81" s="68"/>
      <c r="J81" s="18"/>
      <c r="P81" s="33"/>
      <c r="Q81" s="13"/>
      <c r="X81" s="33"/>
    </row>
    <row r="82" spans="1:25" ht="14.5" customHeight="1" x14ac:dyDescent="0.35">
      <c r="A82" s="169"/>
      <c r="B82" s="92" t="s">
        <v>68</v>
      </c>
      <c r="C82" t="s">
        <v>69</v>
      </c>
      <c r="D82" s="53" t="s">
        <v>47</v>
      </c>
      <c r="E82" s="50"/>
      <c r="H82" s="33"/>
      <c r="I82" s="71" t="s">
        <v>106</v>
      </c>
      <c r="J82" s="18"/>
      <c r="P82" s="33"/>
      <c r="Q82" s="13"/>
      <c r="X82" s="33"/>
    </row>
    <row r="83" spans="1:25" ht="14.5" customHeight="1" x14ac:dyDescent="0.35">
      <c r="A83" s="169"/>
      <c r="B83" s="92" t="s">
        <v>68</v>
      </c>
      <c r="C83" s="14" t="s">
        <v>55</v>
      </c>
      <c r="D83" s="53" t="s">
        <v>57</v>
      </c>
      <c r="H83" s="33"/>
      <c r="I83" s="67"/>
      <c r="J83" s="18"/>
      <c r="P83" s="33"/>
      <c r="Q83" s="13"/>
      <c r="X83" s="33"/>
    </row>
    <row r="84" spans="1:25" ht="14.5" customHeight="1" x14ac:dyDescent="0.35">
      <c r="A84" s="169"/>
      <c r="B84" s="92" t="s">
        <v>68</v>
      </c>
      <c r="C84" s="14" t="s">
        <v>56</v>
      </c>
      <c r="D84" s="53" t="s">
        <v>58</v>
      </c>
      <c r="H84" s="33"/>
      <c r="I84" s="67"/>
      <c r="J84" s="18"/>
      <c r="P84" s="33"/>
      <c r="Q84" s="13"/>
      <c r="R84" s="18"/>
      <c r="X84" s="33"/>
      <c r="Y84" s="13"/>
    </row>
    <row r="85" spans="1:25" ht="14.5" customHeight="1" x14ac:dyDescent="0.35">
      <c r="A85" s="169"/>
      <c r="B85" s="92" t="s">
        <v>68</v>
      </c>
      <c r="C85" s="14" t="s">
        <v>60</v>
      </c>
      <c r="D85" s="53" t="s">
        <v>47</v>
      </c>
      <c r="H85" s="33"/>
      <c r="I85" s="67"/>
      <c r="J85" s="18"/>
      <c r="P85" s="33"/>
      <c r="Q85" s="13"/>
      <c r="R85" s="18"/>
      <c r="X85" s="33"/>
      <c r="Y85" s="13"/>
    </row>
    <row r="86" spans="1:25" ht="14.5" customHeight="1" x14ac:dyDescent="0.35">
      <c r="A86" s="169"/>
      <c r="B86" s="92" t="s">
        <v>68</v>
      </c>
      <c r="C86" s="14" t="s">
        <v>77</v>
      </c>
      <c r="D86" s="53" t="s">
        <v>47</v>
      </c>
      <c r="H86" s="33"/>
      <c r="I86" s="67"/>
      <c r="J86" s="18"/>
      <c r="P86" s="33"/>
      <c r="Q86" s="13"/>
      <c r="R86" s="18"/>
      <c r="X86" s="33"/>
      <c r="Y86" s="13"/>
    </row>
    <row r="87" spans="1:25" ht="14.5" customHeight="1" x14ac:dyDescent="0.35">
      <c r="A87" s="169"/>
      <c r="B87" s="92" t="s">
        <v>68</v>
      </c>
      <c r="C87" s="14" t="s">
        <v>62</v>
      </c>
      <c r="D87" s="53" t="s">
        <v>47</v>
      </c>
      <c r="H87" s="33"/>
      <c r="I87" s="67"/>
      <c r="J87" s="18"/>
      <c r="P87" s="33"/>
      <c r="Q87" s="13"/>
      <c r="R87" s="18"/>
      <c r="X87" s="33"/>
      <c r="Y87" s="13"/>
    </row>
    <row r="88" spans="1:25" ht="15" customHeight="1" x14ac:dyDescent="0.35">
      <c r="A88" s="169"/>
      <c r="B88" s="92" t="s">
        <v>68</v>
      </c>
      <c r="C88" s="14" t="s">
        <v>63</v>
      </c>
      <c r="D88" s="53" t="s">
        <v>47</v>
      </c>
      <c r="H88" s="33"/>
      <c r="I88" s="67"/>
      <c r="J88" s="18"/>
      <c r="P88" s="33"/>
      <c r="Q88" s="13"/>
      <c r="R88" s="18"/>
      <c r="X88" s="33"/>
      <c r="Y88" s="13"/>
    </row>
    <row r="89" spans="1:25" ht="17.149999999999999" customHeight="1" x14ac:dyDescent="0.35">
      <c r="A89" s="169"/>
      <c r="B89" s="91" t="s">
        <v>68</v>
      </c>
      <c r="C89" s="14" t="s">
        <v>64</v>
      </c>
      <c r="D89" s="53" t="s">
        <v>47</v>
      </c>
      <c r="H89" s="33"/>
      <c r="I89" s="67"/>
      <c r="J89" s="18"/>
      <c r="P89" s="33"/>
      <c r="Q89" s="13"/>
      <c r="R89" s="18"/>
      <c r="X89" s="33"/>
      <c r="Y89" s="13"/>
    </row>
    <row r="90" spans="1:25" ht="14.5" customHeight="1" x14ac:dyDescent="0.35">
      <c r="A90" s="169"/>
      <c r="B90" s="92" t="s">
        <v>68</v>
      </c>
      <c r="C90" s="14" t="s">
        <v>65</v>
      </c>
      <c r="D90" s="53" t="s">
        <v>47</v>
      </c>
      <c r="H90" s="33"/>
      <c r="I90" s="67"/>
      <c r="J90" s="18"/>
      <c r="P90" s="33"/>
      <c r="Q90" s="13"/>
      <c r="R90" s="18"/>
      <c r="T90" s="6"/>
      <c r="X90" s="33"/>
      <c r="Y90" s="13"/>
    </row>
    <row r="91" spans="1:25" ht="14.5" customHeight="1" x14ac:dyDescent="0.35">
      <c r="A91" s="169"/>
      <c r="B91" s="92" t="s">
        <v>68</v>
      </c>
      <c r="C91" s="14" t="s">
        <v>66</v>
      </c>
      <c r="D91" s="53" t="s">
        <v>47</v>
      </c>
      <c r="H91" s="33"/>
      <c r="I91" s="67"/>
      <c r="J91" s="18"/>
      <c r="P91" s="33"/>
      <c r="Q91" s="13"/>
      <c r="R91" s="18"/>
      <c r="T91" s="6"/>
      <c r="X91" s="33"/>
      <c r="Y91" s="13"/>
    </row>
    <row r="92" spans="1:25" ht="14.5" customHeight="1" x14ac:dyDescent="0.35">
      <c r="A92" s="169"/>
      <c r="B92" s="92" t="s">
        <v>68</v>
      </c>
      <c r="C92" s="14" t="s">
        <v>67</v>
      </c>
      <c r="D92" s="53" t="s">
        <v>47</v>
      </c>
      <c r="H92" s="33"/>
      <c r="I92" s="67"/>
      <c r="J92" s="18"/>
      <c r="P92" s="33"/>
      <c r="Q92" s="13"/>
      <c r="R92" s="18"/>
      <c r="T92" s="6"/>
      <c r="X92" s="33"/>
      <c r="Y92" s="13"/>
    </row>
    <row r="93" spans="1:25" ht="15" customHeight="1" x14ac:dyDescent="0.35">
      <c r="A93" s="169"/>
      <c r="B93" s="92" t="s">
        <v>68</v>
      </c>
      <c r="C93" s="14" t="s">
        <v>70</v>
      </c>
      <c r="D93" s="53" t="s">
        <v>47</v>
      </c>
      <c r="H93" s="33"/>
      <c r="I93" s="67"/>
      <c r="J93" s="18"/>
      <c r="P93" s="33"/>
      <c r="Q93" s="13"/>
      <c r="R93" s="18"/>
      <c r="T93" s="6"/>
      <c r="X93" s="33"/>
      <c r="Y93" s="13"/>
    </row>
    <row r="94" spans="1:25" ht="14.5" customHeight="1" x14ac:dyDescent="0.35">
      <c r="A94" s="169"/>
      <c r="B94" s="92" t="s">
        <v>68</v>
      </c>
      <c r="C94" s="14" t="s">
        <v>71</v>
      </c>
      <c r="D94" s="53" t="s">
        <v>47</v>
      </c>
      <c r="H94" s="33"/>
      <c r="I94" s="67"/>
      <c r="J94" s="18"/>
      <c r="P94" s="33"/>
      <c r="Q94" s="13"/>
      <c r="R94" s="18"/>
      <c r="T94" s="6"/>
      <c r="X94" s="33"/>
      <c r="Y94" s="13"/>
    </row>
    <row r="95" spans="1:25" ht="14.5" customHeight="1" x14ac:dyDescent="0.35">
      <c r="A95" s="169"/>
      <c r="B95" s="92" t="s">
        <v>68</v>
      </c>
      <c r="C95" s="14" t="s">
        <v>72</v>
      </c>
      <c r="D95" s="53" t="s">
        <v>36</v>
      </c>
      <c r="H95" s="33"/>
      <c r="I95" s="67"/>
      <c r="J95" s="18"/>
      <c r="P95" s="33"/>
      <c r="Q95" s="13"/>
      <c r="R95" s="18"/>
      <c r="X95" s="33"/>
      <c r="Y95" s="13"/>
    </row>
    <row r="96" spans="1:25" ht="14.5" customHeight="1" thickBot="1" x14ac:dyDescent="0.4">
      <c r="A96" s="170"/>
      <c r="B96" s="92" t="s">
        <v>68</v>
      </c>
      <c r="C96" s="20" t="s">
        <v>73</v>
      </c>
      <c r="D96" s="56" t="s">
        <v>36</v>
      </c>
      <c r="E96" s="78"/>
      <c r="F96" s="15"/>
      <c r="G96" s="15"/>
      <c r="H96" s="109"/>
      <c r="I96" s="72"/>
      <c r="J96" s="19"/>
      <c r="K96" s="15"/>
      <c r="L96" s="15"/>
      <c r="M96" s="78"/>
      <c r="N96" s="15"/>
      <c r="O96" s="15"/>
      <c r="P96" s="109"/>
      <c r="Q96" s="16"/>
      <c r="R96" s="19"/>
      <c r="S96" s="15"/>
      <c r="T96" s="15"/>
      <c r="U96" s="78"/>
      <c r="V96" s="78"/>
      <c r="W96" s="15"/>
      <c r="X96" s="109"/>
      <c r="Y96" s="16"/>
    </row>
    <row r="97" spans="1:20" ht="14.5" customHeight="1" x14ac:dyDescent="0.35">
      <c r="A97" s="46"/>
      <c r="B97" s="45"/>
      <c r="C97" s="14"/>
      <c r="D97" s="6"/>
    </row>
    <row r="98" spans="1:20" ht="14.5" customHeight="1" x14ac:dyDescent="0.35">
      <c r="A98" s="46"/>
      <c r="B98" s="45"/>
      <c r="C98" s="14"/>
      <c r="D98" s="6"/>
    </row>
    <row r="99" spans="1:20" ht="14.5" customHeight="1" x14ac:dyDescent="0.35">
      <c r="A99" s="46"/>
      <c r="B99" s="45"/>
      <c r="C99" s="14"/>
      <c r="D99" s="6"/>
    </row>
    <row r="100" spans="1:20" ht="14.5" customHeight="1" x14ac:dyDescent="0.35">
      <c r="A100" s="46"/>
      <c r="B100" s="45"/>
      <c r="C100" s="14"/>
      <c r="D100" s="6"/>
    </row>
    <row r="101" spans="1:20" ht="14.5" customHeight="1" x14ac:dyDescent="0.35">
      <c r="A101" s="46"/>
      <c r="B101" s="45"/>
      <c r="C101" s="14"/>
      <c r="D101" s="6"/>
    </row>
    <row r="102" spans="1:20" ht="14.5" customHeight="1" x14ac:dyDescent="0.35">
      <c r="A102" s="46"/>
      <c r="B102" s="45"/>
      <c r="C102" s="14"/>
      <c r="D102" s="6"/>
      <c r="T102" s="6"/>
    </row>
    <row r="103" spans="1:20" ht="14.5" customHeight="1" x14ac:dyDescent="0.35">
      <c r="A103" s="46"/>
      <c r="B103" s="45"/>
      <c r="C103" s="14"/>
      <c r="D103" s="6"/>
      <c r="T103" s="6"/>
    </row>
    <row r="104" spans="1:20" ht="14.5" customHeight="1" x14ac:dyDescent="0.35">
      <c r="A104" s="46"/>
      <c r="B104" s="45"/>
      <c r="C104" s="14"/>
      <c r="D104" s="6"/>
      <c r="T104" s="6"/>
    </row>
    <row r="105" spans="1:20" ht="14.5" customHeight="1" x14ac:dyDescent="0.35">
      <c r="A105" s="46"/>
      <c r="B105" s="45"/>
      <c r="C105" s="14"/>
      <c r="D105" s="6"/>
    </row>
    <row r="106" spans="1:20" ht="14.5" customHeight="1" x14ac:dyDescent="0.35">
      <c r="A106" s="46"/>
      <c r="B106" s="45"/>
      <c r="C106" s="14"/>
      <c r="D106" s="6"/>
      <c r="T106" s="6"/>
    </row>
    <row r="107" spans="1:20" ht="15" customHeight="1" x14ac:dyDescent="0.35">
      <c r="A107" s="46"/>
      <c r="B107" s="45"/>
      <c r="C107" s="14"/>
      <c r="D107" s="6"/>
      <c r="T107" s="6"/>
    </row>
    <row r="108" spans="1:20" x14ac:dyDescent="0.35">
      <c r="A108" s="9"/>
      <c r="B108" s="7"/>
      <c r="D108" s="6"/>
      <c r="T108" s="6"/>
    </row>
    <row r="109" spans="1:20" x14ac:dyDescent="0.35">
      <c r="A109" s="9"/>
      <c r="B109" s="7"/>
      <c r="D109" s="6"/>
      <c r="T109" s="6"/>
    </row>
    <row r="110" spans="1:20" x14ac:dyDescent="0.35">
      <c r="A110" s="9"/>
      <c r="B110" s="7"/>
      <c r="D110" s="6"/>
      <c r="T110" s="6"/>
    </row>
    <row r="111" spans="1:20" x14ac:dyDescent="0.35">
      <c r="A111" s="9"/>
      <c r="B111" s="7"/>
      <c r="D111" s="6"/>
      <c r="T111" s="6"/>
    </row>
    <row r="112" spans="1:20" x14ac:dyDescent="0.35">
      <c r="A112" s="9"/>
      <c r="B112" s="7"/>
      <c r="D112" s="6"/>
      <c r="T112" s="6"/>
    </row>
    <row r="113" spans="1:20" x14ac:dyDescent="0.35">
      <c r="A113" s="9"/>
      <c r="B113" s="7"/>
      <c r="D113" s="6"/>
      <c r="T113" s="6"/>
    </row>
    <row r="114" spans="1:20" x14ac:dyDescent="0.35">
      <c r="A114" s="9"/>
      <c r="B114" s="7"/>
      <c r="D114" s="6"/>
      <c r="T114" s="6"/>
    </row>
    <row r="115" spans="1:20" x14ac:dyDescent="0.35">
      <c r="A115" s="9"/>
      <c r="B115" s="7"/>
      <c r="D115" s="6"/>
      <c r="T115" s="6"/>
    </row>
    <row r="116" spans="1:20" x14ac:dyDescent="0.35">
      <c r="A116" s="9"/>
      <c r="B116" s="7"/>
      <c r="D116" s="6"/>
      <c r="T116" s="6"/>
    </row>
    <row r="117" spans="1:20" x14ac:dyDescent="0.35">
      <c r="A117" s="9"/>
      <c r="B117" s="7"/>
      <c r="D117" s="6"/>
      <c r="T117" s="6"/>
    </row>
    <row r="118" spans="1:20" x14ac:dyDescent="0.35">
      <c r="A118" s="9"/>
      <c r="B118" s="7"/>
      <c r="D118" s="6"/>
      <c r="T118" s="6"/>
    </row>
    <row r="119" spans="1:20" x14ac:dyDescent="0.35">
      <c r="A119" s="9"/>
      <c r="B119" s="7"/>
      <c r="C119" s="10"/>
      <c r="D119" s="6"/>
      <c r="T119" s="6"/>
    </row>
  </sheetData>
  <mergeCells count="6">
    <mergeCell ref="A50:A96"/>
    <mergeCell ref="A1:A2"/>
    <mergeCell ref="B1:I1"/>
    <mergeCell ref="J1:Q1"/>
    <mergeCell ref="R1:Y1"/>
    <mergeCell ref="A3:A49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6D51E8-720E-4E9D-ABB8-A01F00E4A5E9}">
          <x14:formula1>
            <xm:f>aide!$M$5:$M$21</xm:f>
          </x14:formula1>
          <xm:sqref>H56</xm:sqref>
        </x14:dataValidation>
        <x14:dataValidation type="list" allowBlank="1" showInputMessage="1" showErrorMessage="1" xr:uid="{5CC56C29-B674-4BF3-826D-E3C0E0D27F07}">
          <x14:formula1>
            <xm:f>aide!$C$54:$C$56</xm:f>
          </x14:formula1>
          <xm:sqref>F21:F96 N69:N70 N73:N96 V3:V10 N26:N60 N3:N13 N18:N19 V22:V32 V84:V96 V37:V79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14CE-9126-4EB3-B515-D9149B6C8B04}">
  <dimension ref="A1:AB119"/>
  <sheetViews>
    <sheetView tabSelected="1" zoomScale="40" zoomScaleNormal="40" workbookViewId="0">
      <pane xSplit="1" ySplit="2" topLeftCell="I33" activePane="bottomRight" state="frozen"/>
      <selection pane="topRight" activeCell="B1" sqref="B1"/>
      <selection pane="bottomLeft" activeCell="A3" sqref="A3"/>
      <selection pane="bottomRight" activeCell="S54" sqref="S54"/>
    </sheetView>
  </sheetViews>
  <sheetFormatPr baseColWidth="10" defaultRowHeight="17" x14ac:dyDescent="0.4"/>
  <cols>
    <col min="1" max="1" width="21.81640625" style="5" customWidth="1"/>
    <col min="2" max="2" width="17.81640625" style="5" customWidth="1"/>
    <col min="3" max="3" width="36.54296875" customWidth="1"/>
    <col min="4" max="4" width="9.81640625" customWidth="1"/>
    <col min="5" max="6" width="13.81640625" style="6" customWidth="1"/>
    <col min="7" max="7" width="26.54296875" customWidth="1"/>
    <col min="8" max="8" width="20.81640625" style="6" customWidth="1"/>
    <col min="9" max="9" width="17.453125" style="6" customWidth="1"/>
    <col min="10" max="10" width="38.81640625" customWidth="1"/>
    <col min="11" max="11" width="18" customWidth="1"/>
    <col min="12" max="12" width="37.54296875" customWidth="1"/>
    <col min="13" max="13" width="8.54296875" customWidth="1"/>
    <col min="14" max="14" width="12.1796875" style="6" customWidth="1"/>
    <col min="15" max="15" width="14.81640625" customWidth="1"/>
    <col min="16" max="16" width="27.453125" customWidth="1"/>
    <col min="17" max="17" width="21.08984375" customWidth="1"/>
    <col min="18" max="18" width="18.1796875" customWidth="1"/>
    <col min="19" max="19" width="37.81640625" customWidth="1"/>
    <col min="20" max="20" width="16.1796875" customWidth="1"/>
    <col min="21" max="21" width="51.54296875" customWidth="1"/>
    <col min="22" max="22" width="9.1796875" customWidth="1"/>
    <col min="23" max="23" width="11.81640625" style="111" customWidth="1"/>
    <col min="24" max="24" width="11.81640625" style="6" customWidth="1"/>
    <col min="25" max="25" width="27.453125" customWidth="1"/>
    <col min="26" max="26" width="22.1796875" customWidth="1"/>
    <col min="27" max="27" width="18.453125" style="111" customWidth="1"/>
    <col min="28" max="28" width="41.81640625" customWidth="1"/>
  </cols>
  <sheetData>
    <row r="1" spans="1:28" s="5" customFormat="1" ht="37.5" customHeight="1" x14ac:dyDescent="0.4">
      <c r="A1" s="171"/>
      <c r="B1" s="165" t="s">
        <v>18</v>
      </c>
      <c r="C1" s="166"/>
      <c r="D1" s="166"/>
      <c r="E1" s="166"/>
      <c r="F1" s="166"/>
      <c r="G1" s="166"/>
      <c r="H1" s="166"/>
      <c r="I1" s="166"/>
      <c r="J1" s="167"/>
      <c r="K1" s="165" t="s">
        <v>19</v>
      </c>
      <c r="L1" s="166"/>
      <c r="M1" s="166"/>
      <c r="N1" s="166"/>
      <c r="O1" s="166"/>
      <c r="P1" s="166"/>
      <c r="Q1" s="166"/>
      <c r="R1" s="166"/>
      <c r="S1" s="167"/>
      <c r="T1" s="165" t="s">
        <v>20</v>
      </c>
      <c r="U1" s="166"/>
      <c r="V1" s="166"/>
      <c r="W1" s="166"/>
      <c r="X1" s="166"/>
      <c r="Y1" s="166"/>
      <c r="Z1" s="166"/>
      <c r="AA1" s="166"/>
      <c r="AB1" s="167"/>
    </row>
    <row r="2" spans="1:28" s="5" customFormat="1" ht="56.15" customHeight="1" thickBot="1" x14ac:dyDescent="0.45">
      <c r="A2" s="172"/>
      <c r="B2" s="24" t="s">
        <v>15</v>
      </c>
      <c r="C2" s="25" t="s">
        <v>14</v>
      </c>
      <c r="D2" s="25" t="s">
        <v>35</v>
      </c>
      <c r="E2" s="25" t="s">
        <v>34</v>
      </c>
      <c r="F2" s="25" t="s">
        <v>16</v>
      </c>
      <c r="G2" s="25" t="s">
        <v>110</v>
      </c>
      <c r="H2" s="26" t="s">
        <v>125</v>
      </c>
      <c r="I2" s="26" t="s">
        <v>133</v>
      </c>
      <c r="J2" s="27" t="s">
        <v>17</v>
      </c>
      <c r="K2" s="28" t="str">
        <f t="shared" ref="K2:R2" si="0">B2</f>
        <v>Catégorie</v>
      </c>
      <c r="L2" s="29" t="str">
        <f t="shared" si="0"/>
        <v>Equipement</v>
      </c>
      <c r="M2" s="29" t="str">
        <f t="shared" si="0"/>
        <v>Unité</v>
      </c>
      <c r="N2" s="29" t="str">
        <f t="shared" si="0"/>
        <v>Quantité</v>
      </c>
      <c r="O2" s="29" t="str">
        <f t="shared" si="0"/>
        <v>Qualité de la donnée</v>
      </c>
      <c r="P2" s="29" t="str">
        <f t="shared" si="0"/>
        <v>Autres opérateurs utilisant les équipements et quelle quantité</v>
      </c>
      <c r="Q2" s="29" t="str">
        <f t="shared" si="0"/>
        <v>Pourcentage de reconditionnement (%)</v>
      </c>
      <c r="R2" s="29" t="str">
        <f t="shared" si="0"/>
        <v>Durée de vie totale (an)</v>
      </c>
      <c r="S2" s="29" t="str">
        <f t="shared" ref="S2" si="1">J2</f>
        <v>Commentaire</v>
      </c>
      <c r="T2" s="30" t="str">
        <f t="shared" ref="T2:AA2" si="2">B2</f>
        <v>Catégorie</v>
      </c>
      <c r="U2" s="31" t="str">
        <f t="shared" si="2"/>
        <v>Equipement</v>
      </c>
      <c r="V2" s="31" t="str">
        <f t="shared" si="2"/>
        <v>Unité</v>
      </c>
      <c r="W2" s="152" t="str">
        <f t="shared" si="2"/>
        <v>Quantité</v>
      </c>
      <c r="X2" s="31" t="str">
        <f t="shared" si="2"/>
        <v>Qualité de la donnée</v>
      </c>
      <c r="Y2" s="31" t="str">
        <f t="shared" si="2"/>
        <v>Autres opérateurs utilisant les équipements et quelle quantité</v>
      </c>
      <c r="Z2" s="31" t="str">
        <f t="shared" si="2"/>
        <v>Pourcentage de reconditionnement (%)</v>
      </c>
      <c r="AA2" s="152" t="str">
        <f t="shared" si="2"/>
        <v>Durée de vie totale (an)</v>
      </c>
      <c r="AB2" s="31" t="str">
        <f t="shared" ref="AB2" si="3">J2</f>
        <v>Commentaire</v>
      </c>
    </row>
    <row r="3" spans="1:28" ht="17.149999999999999" customHeight="1" x14ac:dyDescent="0.35">
      <c r="A3" s="168" t="s">
        <v>79</v>
      </c>
      <c r="B3" s="104" t="s">
        <v>51</v>
      </c>
      <c r="C3" s="12" t="s">
        <v>115</v>
      </c>
      <c r="D3" s="52" t="s">
        <v>47</v>
      </c>
      <c r="E3" s="75">
        <v>50</v>
      </c>
      <c r="F3" s="75" t="s">
        <v>83</v>
      </c>
      <c r="G3" s="32"/>
      <c r="H3" s="75">
        <v>0.2</v>
      </c>
      <c r="I3" s="75">
        <v>10</v>
      </c>
      <c r="J3" s="147"/>
      <c r="K3" s="94" t="s">
        <v>54</v>
      </c>
      <c r="L3" t="s">
        <v>38</v>
      </c>
      <c r="M3" s="52" t="s">
        <v>36</v>
      </c>
      <c r="N3" s="158">
        <v>1000</v>
      </c>
      <c r="O3" s="76" t="s">
        <v>82</v>
      </c>
      <c r="P3" s="34"/>
      <c r="Q3" s="82">
        <v>0</v>
      </c>
      <c r="R3" s="6">
        <v>6</v>
      </c>
      <c r="S3" s="66"/>
      <c r="T3" s="94" t="s">
        <v>51</v>
      </c>
      <c r="U3" s="12" t="s">
        <v>3</v>
      </c>
      <c r="V3" s="52" t="s">
        <v>47</v>
      </c>
      <c r="W3" s="110">
        <v>50</v>
      </c>
      <c r="X3" s="75" t="s">
        <v>83</v>
      </c>
      <c r="Y3" s="32"/>
      <c r="Z3" s="85">
        <v>0.2</v>
      </c>
      <c r="AA3" s="110">
        <v>9</v>
      </c>
      <c r="AB3" s="66"/>
    </row>
    <row r="4" spans="1:28" ht="17.149999999999999" customHeight="1" x14ac:dyDescent="0.35">
      <c r="A4" s="169"/>
      <c r="B4" s="101" t="s">
        <v>51</v>
      </c>
      <c r="C4" t="s">
        <v>48</v>
      </c>
      <c r="D4" s="53" t="s">
        <v>47</v>
      </c>
      <c r="G4" s="33"/>
      <c r="J4" s="67"/>
      <c r="K4" s="95" t="s">
        <v>54</v>
      </c>
      <c r="L4" t="s">
        <v>39</v>
      </c>
      <c r="M4" s="49" t="s">
        <v>36</v>
      </c>
      <c r="N4" s="159"/>
      <c r="O4" s="6"/>
      <c r="P4" s="33"/>
      <c r="Q4" s="81"/>
      <c r="R4" s="6"/>
      <c r="S4" s="67"/>
      <c r="T4" s="95" t="s">
        <v>51</v>
      </c>
      <c r="U4" t="s">
        <v>50</v>
      </c>
      <c r="V4" s="49" t="s">
        <v>47</v>
      </c>
      <c r="W4" s="149"/>
      <c r="Y4" s="33"/>
      <c r="Z4" s="81"/>
      <c r="AB4" s="67"/>
    </row>
    <row r="5" spans="1:28" ht="17.149999999999999" customHeight="1" x14ac:dyDescent="0.35">
      <c r="A5" s="169"/>
      <c r="B5" s="101" t="s">
        <v>51</v>
      </c>
      <c r="C5" t="s">
        <v>49</v>
      </c>
      <c r="D5" s="53" t="s">
        <v>47</v>
      </c>
      <c r="G5" s="33"/>
      <c r="J5" s="67"/>
      <c r="K5" s="95" t="s">
        <v>54</v>
      </c>
      <c r="L5" t="s">
        <v>40</v>
      </c>
      <c r="M5" s="49" t="s">
        <v>36</v>
      </c>
      <c r="N5" s="159"/>
      <c r="O5" s="6"/>
      <c r="P5" s="33"/>
      <c r="Q5" s="81"/>
      <c r="R5" s="6"/>
      <c r="S5" s="67"/>
      <c r="T5" s="95" t="s">
        <v>51</v>
      </c>
      <c r="U5" t="s">
        <v>26</v>
      </c>
      <c r="V5" s="49" t="s">
        <v>47</v>
      </c>
      <c r="W5" s="149"/>
      <c r="Y5" s="33"/>
      <c r="Z5" s="81"/>
      <c r="AB5" s="67"/>
    </row>
    <row r="6" spans="1:28" ht="17.149999999999999" customHeight="1" x14ac:dyDescent="0.35">
      <c r="A6" s="169"/>
      <c r="B6" s="101" t="s">
        <v>51</v>
      </c>
      <c r="C6" t="s">
        <v>22</v>
      </c>
      <c r="D6" s="53" t="s">
        <v>47</v>
      </c>
      <c r="G6" s="33"/>
      <c r="J6" s="67"/>
      <c r="K6" s="95" t="s">
        <v>54</v>
      </c>
      <c r="L6" t="s">
        <v>41</v>
      </c>
      <c r="M6" s="49" t="s">
        <v>36</v>
      </c>
      <c r="N6" s="159"/>
      <c r="O6" s="6"/>
      <c r="P6" s="33"/>
      <c r="Q6" s="81"/>
      <c r="R6" s="6"/>
      <c r="S6" s="67"/>
      <c r="T6" s="95" t="s">
        <v>51</v>
      </c>
      <c r="U6" t="s">
        <v>4</v>
      </c>
      <c r="V6" s="49" t="s">
        <v>47</v>
      </c>
      <c r="W6" s="149"/>
      <c r="Y6" s="33"/>
      <c r="Z6" s="81"/>
      <c r="AB6" s="67"/>
    </row>
    <row r="7" spans="1:28" ht="17.149999999999999" customHeight="1" x14ac:dyDescent="0.35">
      <c r="A7" s="169"/>
      <c r="B7" s="101" t="s">
        <v>51</v>
      </c>
      <c r="C7" t="s">
        <v>23</v>
      </c>
      <c r="D7" s="53" t="s">
        <v>47</v>
      </c>
      <c r="G7" s="33"/>
      <c r="J7" s="67"/>
      <c r="K7" s="95" t="s">
        <v>54</v>
      </c>
      <c r="L7" t="s">
        <v>42</v>
      </c>
      <c r="M7" s="49" t="s">
        <v>36</v>
      </c>
      <c r="N7" s="159"/>
      <c r="O7" s="6"/>
      <c r="P7" s="33"/>
      <c r="Q7" s="81"/>
      <c r="R7" s="6"/>
      <c r="S7" s="67"/>
      <c r="T7" s="95" t="s">
        <v>51</v>
      </c>
      <c r="U7" t="s">
        <v>5</v>
      </c>
      <c r="V7" s="49" t="s">
        <v>47</v>
      </c>
      <c r="W7" s="149"/>
      <c r="Y7" s="33"/>
      <c r="Z7" s="81"/>
      <c r="AB7" s="67"/>
    </row>
    <row r="8" spans="1:28" ht="17.149999999999999" customHeight="1" x14ac:dyDescent="0.35">
      <c r="A8" s="169"/>
      <c r="B8" s="101" t="s">
        <v>51</v>
      </c>
      <c r="C8" t="s">
        <v>2</v>
      </c>
      <c r="D8" s="53" t="s">
        <v>47</v>
      </c>
      <c r="G8" s="33"/>
      <c r="J8" s="67"/>
      <c r="K8" s="95" t="s">
        <v>54</v>
      </c>
      <c r="L8" t="s">
        <v>43</v>
      </c>
      <c r="M8" s="49" t="s">
        <v>36</v>
      </c>
      <c r="N8" s="159"/>
      <c r="O8" s="6"/>
      <c r="P8" s="33"/>
      <c r="Q8" s="81"/>
      <c r="R8" s="6"/>
      <c r="S8" s="67"/>
      <c r="T8" s="95" t="s">
        <v>51</v>
      </c>
      <c r="U8" t="s">
        <v>6</v>
      </c>
      <c r="V8" s="49" t="s">
        <v>47</v>
      </c>
      <c r="W8" s="149"/>
      <c r="Y8" s="33"/>
      <c r="Z8" s="81"/>
      <c r="AB8" s="67"/>
    </row>
    <row r="9" spans="1:28" ht="17.149999999999999" customHeight="1" x14ac:dyDescent="0.35">
      <c r="A9" s="169"/>
      <c r="B9" s="101" t="s">
        <v>51</v>
      </c>
      <c r="C9" t="s">
        <v>24</v>
      </c>
      <c r="D9" s="53" t="s">
        <v>47</v>
      </c>
      <c r="G9" s="33"/>
      <c r="J9" s="67"/>
      <c r="K9" s="95" t="s">
        <v>54</v>
      </c>
      <c r="L9" t="s">
        <v>44</v>
      </c>
      <c r="M9" s="49" t="s">
        <v>36</v>
      </c>
      <c r="N9" s="159"/>
      <c r="O9" s="6"/>
      <c r="P9" s="33"/>
      <c r="Q9" s="81"/>
      <c r="R9" s="6"/>
      <c r="S9" s="67"/>
      <c r="T9" s="95" t="s">
        <v>51</v>
      </c>
      <c r="U9" t="s">
        <v>7</v>
      </c>
      <c r="V9" s="49" t="s">
        <v>47</v>
      </c>
      <c r="W9" s="149"/>
      <c r="Y9" s="33"/>
      <c r="Z9" s="81"/>
      <c r="AB9" s="67"/>
    </row>
    <row r="10" spans="1:28" ht="17.149999999999999" customHeight="1" x14ac:dyDescent="0.35">
      <c r="A10" s="169"/>
      <c r="B10" s="101" t="s">
        <v>51</v>
      </c>
      <c r="C10" t="s">
        <v>25</v>
      </c>
      <c r="D10" s="53" t="s">
        <v>47</v>
      </c>
      <c r="G10" s="33"/>
      <c r="J10" s="67"/>
      <c r="K10" s="95" t="s">
        <v>54</v>
      </c>
      <c r="L10" t="s">
        <v>45</v>
      </c>
      <c r="M10" s="49" t="s">
        <v>36</v>
      </c>
      <c r="N10" s="159"/>
      <c r="O10" s="6"/>
      <c r="P10" s="33"/>
      <c r="Q10" s="81"/>
      <c r="R10" s="6"/>
      <c r="S10" s="67"/>
      <c r="T10" s="96" t="s">
        <v>51</v>
      </c>
      <c r="U10" s="1" t="s">
        <v>8</v>
      </c>
      <c r="V10" s="51" t="s">
        <v>47</v>
      </c>
      <c r="W10" s="149"/>
      <c r="X10" s="77"/>
      <c r="Y10" s="35"/>
      <c r="Z10" s="84"/>
      <c r="AA10" s="113"/>
      <c r="AB10" s="68"/>
    </row>
    <row r="11" spans="1:28" ht="17.149999999999999" customHeight="1" x14ac:dyDescent="0.35">
      <c r="A11" s="169"/>
      <c r="B11" s="101" t="s">
        <v>51</v>
      </c>
      <c r="C11" t="s">
        <v>0</v>
      </c>
      <c r="D11" s="53" t="s">
        <v>36</v>
      </c>
      <c r="E11" s="136"/>
      <c r="G11" s="33"/>
      <c r="J11" s="67"/>
      <c r="K11" s="95" t="s">
        <v>54</v>
      </c>
      <c r="L11" t="s">
        <v>46</v>
      </c>
      <c r="M11" s="55" t="s">
        <v>36</v>
      </c>
      <c r="N11" s="136"/>
      <c r="O11" s="6"/>
      <c r="P11" s="33"/>
      <c r="Q11" s="81"/>
      <c r="R11" s="6"/>
      <c r="S11" s="67"/>
      <c r="T11" s="97" t="s">
        <v>52</v>
      </c>
      <c r="U11" s="2" t="s">
        <v>10</v>
      </c>
      <c r="V11" s="50" t="s">
        <v>47</v>
      </c>
      <c r="W11" s="150"/>
      <c r="X11" s="76"/>
      <c r="Y11" s="34"/>
      <c r="Z11" s="82"/>
      <c r="AA11" s="112"/>
      <c r="AB11" s="69"/>
    </row>
    <row r="12" spans="1:28" ht="17.149999999999999" customHeight="1" x14ac:dyDescent="0.35">
      <c r="A12" s="169"/>
      <c r="B12" s="101" t="s">
        <v>51</v>
      </c>
      <c r="C12" t="s">
        <v>37</v>
      </c>
      <c r="D12" s="53" t="s">
        <v>36</v>
      </c>
      <c r="E12" s="136"/>
      <c r="G12" s="33"/>
      <c r="J12" s="67"/>
      <c r="K12" s="101" t="s">
        <v>92</v>
      </c>
      <c r="L12" s="48" t="s">
        <v>90</v>
      </c>
      <c r="M12" s="62" t="s">
        <v>91</v>
      </c>
      <c r="N12" s="154"/>
      <c r="O12" s="80"/>
      <c r="P12" s="36"/>
      <c r="Q12" s="119"/>
      <c r="R12" s="80"/>
      <c r="S12" s="70" t="s">
        <v>94</v>
      </c>
      <c r="T12" s="98" t="s">
        <v>52</v>
      </c>
      <c r="U12" s="60" t="s">
        <v>9</v>
      </c>
      <c r="V12" s="49" t="s">
        <v>47</v>
      </c>
      <c r="W12" s="149"/>
      <c r="Y12" s="33"/>
      <c r="Z12" s="81"/>
      <c r="AB12" s="67"/>
    </row>
    <row r="13" spans="1:28" ht="17.149999999999999" customHeight="1" x14ac:dyDescent="0.35">
      <c r="A13" s="169"/>
      <c r="B13" s="101" t="s">
        <v>51</v>
      </c>
      <c r="C13" t="s">
        <v>150</v>
      </c>
      <c r="D13" s="53" t="s">
        <v>36</v>
      </c>
      <c r="E13" s="136"/>
      <c r="G13" s="33"/>
      <c r="J13" s="67"/>
      <c r="K13" s="96" t="s">
        <v>93</v>
      </c>
      <c r="L13" s="1" t="s">
        <v>90</v>
      </c>
      <c r="M13" s="55" t="s">
        <v>91</v>
      </c>
      <c r="N13" s="153"/>
      <c r="O13" s="77"/>
      <c r="P13" s="35"/>
      <c r="Q13" s="84"/>
      <c r="R13" s="77"/>
      <c r="S13" s="68" t="s">
        <v>94</v>
      </c>
      <c r="T13" s="99" t="s">
        <v>52</v>
      </c>
      <c r="U13" s="61" t="s">
        <v>27</v>
      </c>
      <c r="V13" s="51" t="s">
        <v>47</v>
      </c>
      <c r="W13" s="151"/>
      <c r="X13" s="77"/>
      <c r="Y13" s="35"/>
      <c r="Z13" s="84"/>
      <c r="AA13" s="113"/>
      <c r="AB13" s="68"/>
    </row>
    <row r="14" spans="1:28" ht="17.149999999999999" customHeight="1" x14ac:dyDescent="0.35">
      <c r="A14" s="169"/>
      <c r="B14" s="101" t="s">
        <v>51</v>
      </c>
      <c r="C14" t="s">
        <v>151</v>
      </c>
      <c r="D14" s="53" t="s">
        <v>36</v>
      </c>
      <c r="E14" s="155"/>
      <c r="G14" s="33"/>
      <c r="J14" s="67"/>
      <c r="K14" s="101" t="s">
        <v>152</v>
      </c>
      <c r="L14" s="4" t="s">
        <v>153</v>
      </c>
      <c r="M14" s="62" t="s">
        <v>154</v>
      </c>
      <c r="N14" s="157"/>
      <c r="O14" s="4"/>
      <c r="P14" s="36"/>
      <c r="Q14" s="119"/>
      <c r="R14" s="130"/>
      <c r="S14" s="131"/>
      <c r="T14" s="98" t="s">
        <v>53</v>
      </c>
      <c r="U14" s="60" t="s">
        <v>11</v>
      </c>
      <c r="V14" s="49" t="s">
        <v>47</v>
      </c>
      <c r="W14" s="149"/>
      <c r="Y14" s="33"/>
      <c r="Z14" s="81"/>
      <c r="AB14" s="67"/>
    </row>
    <row r="15" spans="1:28" ht="17.149999999999999" customHeight="1" x14ac:dyDescent="0.35">
      <c r="A15" s="169"/>
      <c r="B15" s="101" t="s">
        <v>51</v>
      </c>
      <c r="C15" t="s">
        <v>155</v>
      </c>
      <c r="D15" s="53" t="s">
        <v>47</v>
      </c>
      <c r="G15" s="33"/>
      <c r="J15" s="67"/>
      <c r="K15" s="142"/>
      <c r="M15" s="6"/>
      <c r="P15" s="33"/>
      <c r="Q15" s="81"/>
      <c r="R15" s="6"/>
      <c r="T15" s="98" t="s">
        <v>53</v>
      </c>
      <c r="U15" s="60" t="s">
        <v>12</v>
      </c>
      <c r="V15" s="49" t="s">
        <v>47</v>
      </c>
      <c r="W15" s="149"/>
      <c r="Y15" s="33"/>
      <c r="Z15" s="81"/>
      <c r="AB15" s="67"/>
    </row>
    <row r="16" spans="1:28" ht="17.149999999999999" customHeight="1" x14ac:dyDescent="0.35">
      <c r="A16" s="169"/>
      <c r="B16" s="101" t="s">
        <v>51</v>
      </c>
      <c r="C16" t="s">
        <v>156</v>
      </c>
      <c r="D16" s="53" t="s">
        <v>47</v>
      </c>
      <c r="G16" s="33"/>
      <c r="J16" s="67"/>
      <c r="K16" s="142"/>
      <c r="M16" s="6"/>
      <c r="P16" s="33"/>
      <c r="T16" s="98" t="s">
        <v>53</v>
      </c>
      <c r="U16" s="60" t="s">
        <v>28</v>
      </c>
      <c r="V16" s="49" t="s">
        <v>47</v>
      </c>
      <c r="W16" s="149"/>
      <c r="Y16" s="33"/>
      <c r="Z16" s="81"/>
      <c r="AB16" s="67"/>
    </row>
    <row r="17" spans="1:28" ht="17.149999999999999" customHeight="1" x14ac:dyDescent="0.35">
      <c r="A17" s="169"/>
      <c r="B17" s="107" t="s">
        <v>52</v>
      </c>
      <c r="C17" s="3" t="s">
        <v>9</v>
      </c>
      <c r="D17" s="54" t="s">
        <v>47</v>
      </c>
      <c r="E17" s="50"/>
      <c r="F17" s="76"/>
      <c r="G17" s="34"/>
      <c r="H17" s="76"/>
      <c r="I17" s="76"/>
      <c r="J17" s="69"/>
      <c r="P17" s="33"/>
      <c r="T17" s="98" t="s">
        <v>53</v>
      </c>
      <c r="U17" s="60" t="s">
        <v>29</v>
      </c>
      <c r="V17" s="49" t="s">
        <v>47</v>
      </c>
      <c r="W17" s="149"/>
      <c r="Y17" s="33"/>
      <c r="Z17" s="81"/>
      <c r="AB17" s="67"/>
    </row>
    <row r="18" spans="1:28" ht="17.149999999999999" customHeight="1" x14ac:dyDescent="0.35">
      <c r="A18" s="169"/>
      <c r="B18" s="107" t="s">
        <v>52</v>
      </c>
      <c r="C18" t="s">
        <v>27</v>
      </c>
      <c r="D18" s="53" t="s">
        <v>47</v>
      </c>
      <c r="E18" s="151"/>
      <c r="G18" s="33"/>
      <c r="J18" s="67"/>
      <c r="K18" s="17"/>
      <c r="P18" s="33"/>
      <c r="S18" s="13"/>
      <c r="T18" s="98" t="s">
        <v>53</v>
      </c>
      <c r="U18" s="60" t="s">
        <v>30</v>
      </c>
      <c r="V18" s="49" t="s">
        <v>47</v>
      </c>
      <c r="W18" s="149"/>
      <c r="Y18" s="33"/>
      <c r="Z18" s="81"/>
      <c r="AB18" s="67"/>
    </row>
    <row r="19" spans="1:28" ht="17.149999999999999" customHeight="1" x14ac:dyDescent="0.35">
      <c r="A19" s="169"/>
      <c r="B19" s="107" t="s">
        <v>53</v>
      </c>
      <c r="C19" s="3" t="s">
        <v>11</v>
      </c>
      <c r="D19" s="54" t="s">
        <v>47</v>
      </c>
      <c r="E19" s="111"/>
      <c r="F19" s="76"/>
      <c r="G19" s="34"/>
      <c r="H19" s="76"/>
      <c r="I19" s="76"/>
      <c r="J19" s="69"/>
      <c r="K19" s="17"/>
      <c r="P19" s="33"/>
      <c r="S19" s="13"/>
      <c r="T19" s="98" t="s">
        <v>53</v>
      </c>
      <c r="U19" s="60" t="s">
        <v>31</v>
      </c>
      <c r="V19" s="49" t="s">
        <v>47</v>
      </c>
      <c r="W19" s="149"/>
      <c r="Y19" s="33"/>
      <c r="Z19" s="81"/>
      <c r="AB19" s="67"/>
    </row>
    <row r="20" spans="1:28" ht="17.149999999999999" customHeight="1" x14ac:dyDescent="0.35">
      <c r="A20" s="169"/>
      <c r="B20" s="107" t="s">
        <v>53</v>
      </c>
      <c r="C20" s="1" t="s">
        <v>12</v>
      </c>
      <c r="D20" s="55" t="s">
        <v>47</v>
      </c>
      <c r="F20" s="77"/>
      <c r="G20" s="35"/>
      <c r="H20" s="77"/>
      <c r="I20" s="77"/>
      <c r="J20" s="68"/>
      <c r="K20" s="18"/>
      <c r="P20" s="33"/>
      <c r="T20" s="98" t="s">
        <v>53</v>
      </c>
      <c r="U20" s="60" t="s">
        <v>32</v>
      </c>
      <c r="V20" s="49" t="s">
        <v>47</v>
      </c>
      <c r="W20" s="149"/>
      <c r="Y20" s="33"/>
      <c r="Z20" s="81"/>
      <c r="AB20" s="67"/>
    </row>
    <row r="21" spans="1:28" ht="17.149999999999999" customHeight="1" x14ac:dyDescent="0.35">
      <c r="A21" s="169"/>
      <c r="B21" s="101" t="s">
        <v>13</v>
      </c>
      <c r="C21" s="2" t="s">
        <v>13</v>
      </c>
      <c r="D21" s="54" t="s">
        <v>47</v>
      </c>
      <c r="E21" s="50"/>
      <c r="F21" s="76"/>
      <c r="G21" s="34"/>
      <c r="H21" s="76"/>
      <c r="I21" s="76"/>
      <c r="J21" s="71" t="s">
        <v>106</v>
      </c>
      <c r="L21" s="133"/>
      <c r="P21" s="33"/>
      <c r="T21" s="99" t="s">
        <v>53</v>
      </c>
      <c r="U21" s="61" t="s">
        <v>33</v>
      </c>
      <c r="V21" s="51" t="s">
        <v>47</v>
      </c>
      <c r="W21" s="149"/>
      <c r="X21" s="77"/>
      <c r="Y21" s="35"/>
      <c r="Z21" s="84"/>
      <c r="AA21" s="113"/>
      <c r="AB21" s="68"/>
    </row>
    <row r="22" spans="1:28" ht="17.149999999999999" customHeight="1" x14ac:dyDescent="0.35">
      <c r="A22" s="169"/>
      <c r="B22" s="101" t="s">
        <v>13</v>
      </c>
      <c r="C22" s="8" t="s">
        <v>55</v>
      </c>
      <c r="D22" s="53" t="s">
        <v>57</v>
      </c>
      <c r="E22" s="49"/>
      <c r="G22" s="33"/>
      <c r="J22" s="67"/>
      <c r="P22" s="33"/>
      <c r="T22" s="95" t="s">
        <v>74</v>
      </c>
      <c r="U22" t="s">
        <v>74</v>
      </c>
      <c r="V22" s="49" t="s">
        <v>47</v>
      </c>
      <c r="W22" s="150"/>
      <c r="Y22" s="33"/>
      <c r="Z22" s="81"/>
      <c r="AB22" s="67" t="s">
        <v>106</v>
      </c>
    </row>
    <row r="23" spans="1:28" ht="17.149999999999999" customHeight="1" x14ac:dyDescent="0.35">
      <c r="A23" s="169"/>
      <c r="B23" s="101" t="s">
        <v>13</v>
      </c>
      <c r="C23" s="21" t="s">
        <v>56</v>
      </c>
      <c r="D23" s="55" t="s">
        <v>58</v>
      </c>
      <c r="E23" s="51"/>
      <c r="F23" s="77"/>
      <c r="G23" s="35"/>
      <c r="H23" s="77"/>
      <c r="I23" s="77"/>
      <c r="J23" s="68"/>
      <c r="P23" s="33"/>
      <c r="T23" s="95" t="s">
        <v>74</v>
      </c>
      <c r="U23" s="14" t="s">
        <v>75</v>
      </c>
      <c r="V23" s="49" t="s">
        <v>57</v>
      </c>
      <c r="W23" s="149"/>
      <c r="Y23" s="33"/>
      <c r="Z23" s="81"/>
      <c r="AB23" s="67"/>
    </row>
    <row r="24" spans="1:28" ht="17.149999999999999" customHeight="1" x14ac:dyDescent="0.35">
      <c r="A24" s="169"/>
      <c r="B24" s="101" t="s">
        <v>59</v>
      </c>
      <c r="C24" s="2" t="s">
        <v>59</v>
      </c>
      <c r="D24" s="54" t="s">
        <v>47</v>
      </c>
      <c r="F24" s="76"/>
      <c r="G24" s="34"/>
      <c r="H24" s="76"/>
      <c r="I24" s="76"/>
      <c r="J24" s="71" t="s">
        <v>106</v>
      </c>
      <c r="P24" s="33"/>
      <c r="T24" s="95" t="s">
        <v>74</v>
      </c>
      <c r="U24" s="14" t="s">
        <v>76</v>
      </c>
      <c r="V24" s="49" t="s">
        <v>58</v>
      </c>
      <c r="W24" s="149"/>
      <c r="Y24" s="33"/>
      <c r="Z24" s="81"/>
      <c r="AB24" s="67"/>
    </row>
    <row r="25" spans="1:28" ht="17.149999999999999" customHeight="1" x14ac:dyDescent="0.35">
      <c r="A25" s="169"/>
      <c r="B25" s="101" t="s">
        <v>59</v>
      </c>
      <c r="C25" s="8" t="s">
        <v>55</v>
      </c>
      <c r="D25" s="53" t="s">
        <v>57</v>
      </c>
      <c r="G25" s="33"/>
      <c r="J25" s="67"/>
      <c r="P25" s="33"/>
      <c r="T25" s="95" t="s">
        <v>74</v>
      </c>
      <c r="U25" s="23" t="s">
        <v>81</v>
      </c>
      <c r="V25" s="49" t="s">
        <v>47</v>
      </c>
      <c r="W25" s="149"/>
      <c r="Y25" s="33"/>
      <c r="Z25" s="81"/>
      <c r="AB25" s="67"/>
    </row>
    <row r="26" spans="1:28" ht="17.149999999999999" customHeight="1" x14ac:dyDescent="0.35">
      <c r="A26" s="169"/>
      <c r="B26" s="101" t="s">
        <v>59</v>
      </c>
      <c r="C26" s="8" t="s">
        <v>56</v>
      </c>
      <c r="D26" s="53" t="s">
        <v>58</v>
      </c>
      <c r="G26" s="33"/>
      <c r="J26" s="67"/>
      <c r="P26" s="33"/>
      <c r="T26" s="95" t="s">
        <v>74</v>
      </c>
      <c r="U26" s="23" t="s">
        <v>64</v>
      </c>
      <c r="V26" s="49" t="s">
        <v>47</v>
      </c>
      <c r="W26" s="151"/>
      <c r="Y26" s="33"/>
      <c r="Z26" s="81"/>
      <c r="AB26" s="67"/>
    </row>
    <row r="27" spans="1:28" ht="17.149999999999999" customHeight="1" x14ac:dyDescent="0.35">
      <c r="A27" s="169"/>
      <c r="B27" s="101" t="s">
        <v>59</v>
      </c>
      <c r="C27" s="8" t="s">
        <v>60</v>
      </c>
      <c r="D27" s="53" t="s">
        <v>47</v>
      </c>
      <c r="G27" s="33"/>
      <c r="J27" s="67"/>
      <c r="K27" s="17"/>
      <c r="M27" s="6"/>
      <c r="P27" s="33"/>
      <c r="S27" s="13"/>
      <c r="T27" s="100" t="s">
        <v>146</v>
      </c>
      <c r="U27" s="3" t="s">
        <v>148</v>
      </c>
      <c r="V27" s="50" t="s">
        <v>47</v>
      </c>
      <c r="W27" s="149"/>
      <c r="X27" s="76"/>
      <c r="Y27" s="34"/>
      <c r="Z27" s="82"/>
      <c r="AA27" s="112"/>
      <c r="AB27" s="69" t="s">
        <v>106</v>
      </c>
    </row>
    <row r="28" spans="1:28" ht="17.149999999999999" customHeight="1" x14ac:dyDescent="0.35">
      <c r="A28" s="169"/>
      <c r="B28" s="101" t="s">
        <v>59</v>
      </c>
      <c r="C28" s="8" t="s">
        <v>61</v>
      </c>
      <c r="D28" s="53" t="s">
        <v>47</v>
      </c>
      <c r="G28" s="33"/>
      <c r="J28" s="67"/>
      <c r="K28" s="17"/>
      <c r="P28" s="33"/>
      <c r="S28" s="13"/>
      <c r="T28" s="95" t="s">
        <v>146</v>
      </c>
      <c r="U28" s="14" t="s">
        <v>75</v>
      </c>
      <c r="V28" s="49" t="s">
        <v>57</v>
      </c>
      <c r="W28" s="149"/>
      <c r="Y28" s="33"/>
      <c r="Z28" s="81"/>
      <c r="AB28" s="67"/>
    </row>
    <row r="29" spans="1:28" ht="17.149999999999999" customHeight="1" x14ac:dyDescent="0.35">
      <c r="A29" s="169"/>
      <c r="B29" s="101" t="s">
        <v>59</v>
      </c>
      <c r="C29" s="8" t="s">
        <v>62</v>
      </c>
      <c r="D29" s="53" t="s">
        <v>47</v>
      </c>
      <c r="G29" s="33"/>
      <c r="J29" s="67"/>
      <c r="K29" s="17"/>
      <c r="M29" s="6"/>
      <c r="P29" s="33"/>
      <c r="S29" s="13"/>
      <c r="T29" s="96" t="s">
        <v>146</v>
      </c>
      <c r="U29" s="22" t="s">
        <v>76</v>
      </c>
      <c r="V29" s="51" t="s">
        <v>58</v>
      </c>
      <c r="W29" s="149"/>
      <c r="X29" s="77"/>
      <c r="Y29" s="35"/>
      <c r="Z29" s="84"/>
      <c r="AA29" s="113"/>
      <c r="AB29" s="68"/>
    </row>
    <row r="30" spans="1:28" ht="17.149999999999999" customHeight="1" x14ac:dyDescent="0.35">
      <c r="A30" s="169"/>
      <c r="B30" s="101" t="s">
        <v>59</v>
      </c>
      <c r="C30" s="8" t="s">
        <v>63</v>
      </c>
      <c r="D30" s="53" t="s">
        <v>47</v>
      </c>
      <c r="G30" s="33"/>
      <c r="J30" s="67"/>
      <c r="K30" s="17"/>
      <c r="M30" s="6"/>
      <c r="P30" s="33"/>
      <c r="S30" s="13"/>
      <c r="T30" s="100" t="s">
        <v>147</v>
      </c>
      <c r="U30" s="3" t="s">
        <v>149</v>
      </c>
      <c r="V30" s="50" t="s">
        <v>47</v>
      </c>
      <c r="W30" s="150"/>
      <c r="X30" s="76"/>
      <c r="Y30" s="34"/>
      <c r="Z30" s="82"/>
      <c r="AA30" s="112"/>
      <c r="AB30" s="69" t="s">
        <v>106</v>
      </c>
    </row>
    <row r="31" spans="1:28" ht="14.5" customHeight="1" x14ac:dyDescent="0.35">
      <c r="A31" s="169"/>
      <c r="B31" s="101" t="s">
        <v>59</v>
      </c>
      <c r="C31" s="8" t="s">
        <v>64</v>
      </c>
      <c r="D31" s="53" t="s">
        <v>47</v>
      </c>
      <c r="G31" s="33"/>
      <c r="J31" s="67"/>
      <c r="K31" s="17"/>
      <c r="M31" s="6"/>
      <c r="P31" s="33"/>
      <c r="S31" s="13"/>
      <c r="T31" s="95" t="s">
        <v>147</v>
      </c>
      <c r="U31" s="14" t="s">
        <v>75</v>
      </c>
      <c r="V31" s="49" t="s">
        <v>57</v>
      </c>
      <c r="W31" s="149"/>
      <c r="Y31" s="33"/>
      <c r="Z31" s="81"/>
      <c r="AB31" s="67"/>
    </row>
    <row r="32" spans="1:28" ht="17.149999999999999" customHeight="1" x14ac:dyDescent="0.35">
      <c r="A32" s="169"/>
      <c r="B32" s="101" t="s">
        <v>59</v>
      </c>
      <c r="C32" s="8" t="s">
        <v>65</v>
      </c>
      <c r="D32" s="53" t="s">
        <v>47</v>
      </c>
      <c r="G32" s="33"/>
      <c r="J32" s="67"/>
      <c r="K32" s="17"/>
      <c r="P32" s="33"/>
      <c r="S32" s="13"/>
      <c r="T32" s="96" t="s">
        <v>147</v>
      </c>
      <c r="U32" s="22" t="s">
        <v>76</v>
      </c>
      <c r="V32" s="51" t="s">
        <v>58</v>
      </c>
      <c r="W32" s="151"/>
      <c r="X32" s="77"/>
      <c r="Y32" s="35"/>
      <c r="Z32" s="84"/>
      <c r="AA32" s="113"/>
      <c r="AB32" s="68"/>
    </row>
    <row r="33" spans="1:28" ht="14.5" customHeight="1" x14ac:dyDescent="0.35">
      <c r="A33" s="169"/>
      <c r="B33" s="101" t="s">
        <v>59</v>
      </c>
      <c r="C33" s="8" t="s">
        <v>66</v>
      </c>
      <c r="D33" s="53" t="s">
        <v>47</v>
      </c>
      <c r="G33" s="33"/>
      <c r="J33" s="67"/>
      <c r="K33" s="17"/>
      <c r="P33" s="33"/>
      <c r="S33" s="13"/>
      <c r="Y33" s="33"/>
    </row>
    <row r="34" spans="1:28" ht="17.149999999999999" customHeight="1" x14ac:dyDescent="0.35">
      <c r="A34" s="169"/>
      <c r="B34" s="101" t="s">
        <v>59</v>
      </c>
      <c r="C34" s="21" t="s">
        <v>67</v>
      </c>
      <c r="D34" s="55" t="s">
        <v>47</v>
      </c>
      <c r="F34" s="77"/>
      <c r="G34" s="35"/>
      <c r="H34" s="77"/>
      <c r="I34" s="77"/>
      <c r="J34" s="68"/>
      <c r="K34" s="18"/>
      <c r="P34" s="33"/>
      <c r="S34" s="13"/>
      <c r="Y34" s="33"/>
    </row>
    <row r="35" spans="1:28" ht="17.149999999999999" customHeight="1" x14ac:dyDescent="0.35">
      <c r="A35" s="169"/>
      <c r="B35" s="101" t="s">
        <v>68</v>
      </c>
      <c r="C35" t="s">
        <v>69</v>
      </c>
      <c r="D35" s="53" t="s">
        <v>47</v>
      </c>
      <c r="E35" s="50"/>
      <c r="G35" s="33"/>
      <c r="J35" s="71" t="s">
        <v>106</v>
      </c>
      <c r="K35" s="18"/>
      <c r="P35" s="33"/>
      <c r="S35" s="13"/>
      <c r="Y35" s="33"/>
    </row>
    <row r="36" spans="1:28" ht="17.149999999999999" customHeight="1" x14ac:dyDescent="0.35">
      <c r="A36" s="169"/>
      <c r="B36" s="101" t="s">
        <v>68</v>
      </c>
      <c r="C36" s="14" t="s">
        <v>55</v>
      </c>
      <c r="D36" s="53" t="s">
        <v>57</v>
      </c>
      <c r="G36" s="33"/>
      <c r="J36" s="67"/>
      <c r="K36" s="18"/>
      <c r="P36" s="33"/>
      <c r="S36" s="13"/>
      <c r="Y36" s="33"/>
    </row>
    <row r="37" spans="1:28" ht="17.149999999999999" customHeight="1" x14ac:dyDescent="0.35">
      <c r="A37" s="169"/>
      <c r="B37" s="101" t="s">
        <v>68</v>
      </c>
      <c r="C37" s="14" t="s">
        <v>56</v>
      </c>
      <c r="D37" s="53" t="s">
        <v>58</v>
      </c>
      <c r="G37" s="33"/>
      <c r="J37" s="67"/>
      <c r="K37" s="18"/>
      <c r="P37" s="33"/>
      <c r="S37" s="13"/>
      <c r="T37" s="18"/>
      <c r="Y37" s="33"/>
      <c r="AB37" s="13"/>
    </row>
    <row r="38" spans="1:28" ht="17.149999999999999" customHeight="1" x14ac:dyDescent="0.35">
      <c r="A38" s="169"/>
      <c r="B38" s="101" t="s">
        <v>68</v>
      </c>
      <c r="C38" s="14" t="s">
        <v>60</v>
      </c>
      <c r="D38" s="53" t="s">
        <v>47</v>
      </c>
      <c r="G38" s="33"/>
      <c r="J38" s="67"/>
      <c r="K38" s="18"/>
      <c r="P38" s="33"/>
      <c r="S38" s="13"/>
      <c r="T38" s="18"/>
      <c r="Y38" s="33"/>
      <c r="AB38" s="13"/>
    </row>
    <row r="39" spans="1:28" ht="17.149999999999999" customHeight="1" x14ac:dyDescent="0.35">
      <c r="A39" s="169"/>
      <c r="B39" s="101" t="s">
        <v>68</v>
      </c>
      <c r="C39" s="14" t="s">
        <v>77</v>
      </c>
      <c r="D39" s="53" t="s">
        <v>47</v>
      </c>
      <c r="G39" s="33"/>
      <c r="J39" s="67"/>
      <c r="K39" s="18"/>
      <c r="P39" s="33"/>
      <c r="S39" s="13"/>
      <c r="T39" s="18"/>
      <c r="Y39" s="33"/>
      <c r="AB39" s="13"/>
    </row>
    <row r="40" spans="1:28" ht="17.149999999999999" customHeight="1" x14ac:dyDescent="0.35">
      <c r="A40" s="169"/>
      <c r="B40" s="101" t="s">
        <v>68</v>
      </c>
      <c r="C40" s="14" t="s">
        <v>62</v>
      </c>
      <c r="D40" s="53" t="s">
        <v>47</v>
      </c>
      <c r="G40" s="33"/>
      <c r="J40" s="67"/>
      <c r="K40" s="18"/>
      <c r="P40" s="33"/>
      <c r="S40" s="13"/>
      <c r="T40" s="18"/>
      <c r="Y40" s="33"/>
      <c r="AB40" s="13"/>
    </row>
    <row r="41" spans="1:28" ht="17.149999999999999" customHeight="1" x14ac:dyDescent="0.35">
      <c r="A41" s="169"/>
      <c r="B41" s="101" t="s">
        <v>68</v>
      </c>
      <c r="C41" s="14" t="s">
        <v>63</v>
      </c>
      <c r="D41" s="53" t="s">
        <v>47</v>
      </c>
      <c r="G41" s="33"/>
      <c r="J41" s="67"/>
      <c r="K41" s="18"/>
      <c r="P41" s="33"/>
      <c r="S41" s="13"/>
      <c r="T41" s="18"/>
      <c r="Y41" s="33"/>
      <c r="AB41" s="13"/>
    </row>
    <row r="42" spans="1:28" ht="17.149999999999999" customHeight="1" x14ac:dyDescent="0.35">
      <c r="A42" s="169"/>
      <c r="B42" s="101" t="s">
        <v>68</v>
      </c>
      <c r="C42" s="14" t="s">
        <v>64</v>
      </c>
      <c r="D42" s="53" t="s">
        <v>47</v>
      </c>
      <c r="G42" s="33"/>
      <c r="J42" s="67"/>
      <c r="K42" s="18"/>
      <c r="P42" s="33"/>
      <c r="S42" s="13"/>
      <c r="T42" s="18"/>
      <c r="Y42" s="33"/>
      <c r="AB42" s="13"/>
    </row>
    <row r="43" spans="1:28" ht="17.149999999999999" customHeight="1" x14ac:dyDescent="0.35">
      <c r="A43" s="169"/>
      <c r="B43" s="101" t="s">
        <v>68</v>
      </c>
      <c r="C43" s="14" t="s">
        <v>65</v>
      </c>
      <c r="D43" s="53" t="s">
        <v>47</v>
      </c>
      <c r="G43" s="33"/>
      <c r="J43" s="67"/>
      <c r="K43" s="18"/>
      <c r="P43" s="33"/>
      <c r="S43" s="13"/>
      <c r="T43" s="18"/>
      <c r="V43" s="6"/>
      <c r="Y43" s="33"/>
      <c r="AB43" s="13"/>
    </row>
    <row r="44" spans="1:28" ht="17.149999999999999" customHeight="1" x14ac:dyDescent="0.35">
      <c r="A44" s="169"/>
      <c r="B44" s="101" t="s">
        <v>68</v>
      </c>
      <c r="C44" s="14" t="s">
        <v>66</v>
      </c>
      <c r="D44" s="53" t="s">
        <v>47</v>
      </c>
      <c r="G44" s="33"/>
      <c r="J44" s="67"/>
      <c r="K44" s="18"/>
      <c r="P44" s="33"/>
      <c r="S44" s="13"/>
      <c r="T44" s="18"/>
      <c r="V44" s="6"/>
      <c r="Y44" s="33"/>
      <c r="AB44" s="13"/>
    </row>
    <row r="45" spans="1:28" ht="17.149999999999999" customHeight="1" x14ac:dyDescent="0.35">
      <c r="A45" s="169"/>
      <c r="B45" s="101" t="s">
        <v>68</v>
      </c>
      <c r="C45" s="14" t="s">
        <v>67</v>
      </c>
      <c r="D45" s="53" t="s">
        <v>47</v>
      </c>
      <c r="G45" s="33"/>
      <c r="J45" s="67"/>
      <c r="K45" s="18"/>
      <c r="P45" s="33"/>
      <c r="S45" s="13"/>
      <c r="T45" s="18"/>
      <c r="V45" s="6"/>
      <c r="Y45" s="33"/>
      <c r="AB45" s="13"/>
    </row>
    <row r="46" spans="1:28" ht="14.5" customHeight="1" x14ac:dyDescent="0.35">
      <c r="A46" s="169"/>
      <c r="B46" s="101" t="s">
        <v>68</v>
      </c>
      <c r="C46" s="14" t="s">
        <v>70</v>
      </c>
      <c r="D46" s="53" t="s">
        <v>47</v>
      </c>
      <c r="G46" s="33"/>
      <c r="J46" s="67"/>
      <c r="K46" s="18"/>
      <c r="P46" s="33"/>
      <c r="S46" s="13"/>
      <c r="T46" s="18"/>
      <c r="V46" s="6"/>
      <c r="Y46" s="33"/>
      <c r="AB46" s="13"/>
    </row>
    <row r="47" spans="1:28" ht="17.149999999999999" customHeight="1" x14ac:dyDescent="0.35">
      <c r="A47" s="169"/>
      <c r="B47" s="101" t="s">
        <v>68</v>
      </c>
      <c r="C47" s="14" t="s">
        <v>71</v>
      </c>
      <c r="D47" s="53" t="s">
        <v>47</v>
      </c>
      <c r="G47" s="33"/>
      <c r="J47" s="67"/>
      <c r="K47" s="18"/>
      <c r="P47" s="33"/>
      <c r="S47" s="13"/>
      <c r="T47" s="18"/>
      <c r="V47" s="6"/>
      <c r="Y47" s="33"/>
      <c r="AB47" s="13"/>
    </row>
    <row r="48" spans="1:28" ht="17.149999999999999" customHeight="1" x14ac:dyDescent="0.35">
      <c r="A48" s="169"/>
      <c r="B48" s="101" t="s">
        <v>68</v>
      </c>
      <c r="C48" s="14" t="s">
        <v>72</v>
      </c>
      <c r="D48" s="53" t="s">
        <v>36</v>
      </c>
      <c r="G48" s="33"/>
      <c r="J48" s="67"/>
      <c r="K48" s="18"/>
      <c r="P48" s="33"/>
      <c r="S48" s="13"/>
      <c r="T48" s="18"/>
      <c r="Y48" s="33"/>
      <c r="AB48" s="13"/>
    </row>
    <row r="49" spans="1:28" ht="17.149999999999999" customHeight="1" thickBot="1" x14ac:dyDescent="0.4">
      <c r="A49" s="170"/>
      <c r="B49" s="108" t="s">
        <v>68</v>
      </c>
      <c r="C49" s="20" t="s">
        <v>73</v>
      </c>
      <c r="D49" s="56" t="s">
        <v>36</v>
      </c>
      <c r="E49" s="78"/>
      <c r="F49" s="78"/>
      <c r="G49" s="109"/>
      <c r="H49" s="78"/>
      <c r="I49" s="78"/>
      <c r="J49" s="72"/>
      <c r="K49" s="18"/>
      <c r="P49" s="33"/>
      <c r="S49" s="13"/>
      <c r="T49" s="18"/>
      <c r="Y49" s="33"/>
      <c r="AB49" s="13"/>
    </row>
    <row r="50" spans="1:28" ht="14.5" customHeight="1" x14ac:dyDescent="0.35">
      <c r="A50" s="168" t="s">
        <v>80</v>
      </c>
      <c r="B50" s="115" t="s">
        <v>51</v>
      </c>
      <c r="C50" s="12" t="s">
        <v>115</v>
      </c>
      <c r="D50" s="52" t="s">
        <v>47</v>
      </c>
      <c r="E50" s="75">
        <v>100</v>
      </c>
      <c r="F50" s="75" t="s">
        <v>83</v>
      </c>
      <c r="G50" s="12" t="s">
        <v>157</v>
      </c>
      <c r="H50" s="75">
        <v>0</v>
      </c>
      <c r="I50" s="75">
        <v>5</v>
      </c>
      <c r="J50" s="66"/>
      <c r="K50" s="89" t="s">
        <v>54</v>
      </c>
      <c r="L50" s="12" t="s">
        <v>38</v>
      </c>
      <c r="M50" s="52" t="s">
        <v>36</v>
      </c>
      <c r="N50" s="75">
        <v>100</v>
      </c>
      <c r="O50" s="12" t="s">
        <v>84</v>
      </c>
      <c r="P50" s="12" t="s">
        <v>157</v>
      </c>
      <c r="Q50" s="85">
        <v>0.2</v>
      </c>
      <c r="R50" s="85">
        <v>6</v>
      </c>
      <c r="S50" s="66"/>
      <c r="T50" s="94" t="s">
        <v>51</v>
      </c>
      <c r="U50" s="12" t="s">
        <v>3</v>
      </c>
      <c r="V50" s="52" t="s">
        <v>47</v>
      </c>
      <c r="W50" s="110">
        <v>200</v>
      </c>
      <c r="X50" s="75" t="s">
        <v>83</v>
      </c>
      <c r="Y50" s="12" t="s">
        <v>157</v>
      </c>
      <c r="Z50" s="75">
        <v>0.1</v>
      </c>
      <c r="AA50" s="110">
        <v>2</v>
      </c>
      <c r="AB50" s="66"/>
    </row>
    <row r="51" spans="1:28" ht="14.5" customHeight="1" x14ac:dyDescent="0.35">
      <c r="A51" s="169"/>
      <c r="B51" s="116" t="s">
        <v>51</v>
      </c>
      <c r="C51" t="s">
        <v>48</v>
      </c>
      <c r="D51" s="53" t="s">
        <v>47</v>
      </c>
      <c r="J51" s="67"/>
      <c r="K51" s="88" t="s">
        <v>54</v>
      </c>
      <c r="L51" t="s">
        <v>39</v>
      </c>
      <c r="M51" s="53" t="s">
        <v>36</v>
      </c>
      <c r="Q51" s="81"/>
      <c r="R51" s="81"/>
      <c r="S51" s="67"/>
      <c r="T51" s="95" t="s">
        <v>51</v>
      </c>
      <c r="U51" t="s">
        <v>50</v>
      </c>
      <c r="V51" s="53" t="s">
        <v>47</v>
      </c>
      <c r="Z51" s="6"/>
      <c r="AB51" s="67"/>
    </row>
    <row r="52" spans="1:28" ht="14.5" customHeight="1" x14ac:dyDescent="0.35">
      <c r="A52" s="169"/>
      <c r="B52" s="116" t="s">
        <v>51</v>
      </c>
      <c r="C52" t="s">
        <v>49</v>
      </c>
      <c r="D52" s="53" t="s">
        <v>47</v>
      </c>
      <c r="J52" s="67"/>
      <c r="K52" s="88" t="s">
        <v>54</v>
      </c>
      <c r="L52" t="s">
        <v>40</v>
      </c>
      <c r="M52" s="53" t="s">
        <v>36</v>
      </c>
      <c r="Q52" s="81"/>
      <c r="R52" s="81"/>
      <c r="S52" s="67"/>
      <c r="T52" s="95" t="s">
        <v>51</v>
      </c>
      <c r="U52" t="s">
        <v>26</v>
      </c>
      <c r="V52" s="53" t="s">
        <v>47</v>
      </c>
      <c r="Z52" s="6"/>
      <c r="AB52" s="67"/>
    </row>
    <row r="53" spans="1:28" ht="14.5" customHeight="1" x14ac:dyDescent="0.35">
      <c r="A53" s="169"/>
      <c r="B53" s="116" t="s">
        <v>51</v>
      </c>
      <c r="C53" t="s">
        <v>22</v>
      </c>
      <c r="D53" s="53" t="s">
        <v>47</v>
      </c>
      <c r="J53" s="67"/>
      <c r="K53" s="88" t="s">
        <v>54</v>
      </c>
      <c r="L53" t="s">
        <v>41</v>
      </c>
      <c r="M53" s="53" t="s">
        <v>36</v>
      </c>
      <c r="Q53" s="81"/>
      <c r="R53" s="81"/>
      <c r="S53" s="67"/>
      <c r="T53" s="95" t="s">
        <v>51</v>
      </c>
      <c r="U53" t="s">
        <v>4</v>
      </c>
      <c r="V53" s="53" t="s">
        <v>47</v>
      </c>
      <c r="Z53" s="6"/>
      <c r="AB53" s="67"/>
    </row>
    <row r="54" spans="1:28" ht="14.5" customHeight="1" x14ac:dyDescent="0.35">
      <c r="A54" s="169"/>
      <c r="B54" s="116" t="s">
        <v>51</v>
      </c>
      <c r="C54" t="s">
        <v>23</v>
      </c>
      <c r="D54" s="53" t="s">
        <v>47</v>
      </c>
      <c r="J54" s="67"/>
      <c r="K54" s="88" t="s">
        <v>54</v>
      </c>
      <c r="L54" t="s">
        <v>42</v>
      </c>
      <c r="M54" s="53" t="s">
        <v>36</v>
      </c>
      <c r="Q54" s="81"/>
      <c r="R54" s="81"/>
      <c r="S54" s="67"/>
      <c r="T54" s="95" t="s">
        <v>51</v>
      </c>
      <c r="U54" t="s">
        <v>5</v>
      </c>
      <c r="V54" s="53" t="s">
        <v>47</v>
      </c>
      <c r="Z54" s="6"/>
      <c r="AB54" s="67"/>
    </row>
    <row r="55" spans="1:28" ht="14.5" customHeight="1" x14ac:dyDescent="0.35">
      <c r="A55" s="169"/>
      <c r="B55" s="116" t="s">
        <v>51</v>
      </c>
      <c r="C55" t="s">
        <v>2</v>
      </c>
      <c r="D55" s="53" t="s">
        <v>47</v>
      </c>
      <c r="J55" s="67"/>
      <c r="K55" s="88" t="s">
        <v>54</v>
      </c>
      <c r="L55" t="s">
        <v>43</v>
      </c>
      <c r="M55" s="53" t="s">
        <v>36</v>
      </c>
      <c r="Q55" s="81"/>
      <c r="R55" s="81"/>
      <c r="S55" s="67"/>
      <c r="T55" s="95" t="s">
        <v>51</v>
      </c>
      <c r="U55" t="s">
        <v>6</v>
      </c>
      <c r="V55" s="53" t="s">
        <v>47</v>
      </c>
      <c r="Z55" s="6"/>
      <c r="AB55" s="67"/>
    </row>
    <row r="56" spans="1:28" ht="14.5" customHeight="1" x14ac:dyDescent="0.35">
      <c r="A56" s="169"/>
      <c r="B56" s="116" t="s">
        <v>51</v>
      </c>
      <c r="C56" t="s">
        <v>24</v>
      </c>
      <c r="D56" s="53" t="s">
        <v>47</v>
      </c>
      <c r="J56" s="67"/>
      <c r="K56" s="88" t="s">
        <v>54</v>
      </c>
      <c r="L56" t="s">
        <v>44</v>
      </c>
      <c r="M56" s="53" t="s">
        <v>36</v>
      </c>
      <c r="Q56" s="81"/>
      <c r="R56" s="81"/>
      <c r="S56" s="67"/>
      <c r="T56" s="95" t="s">
        <v>51</v>
      </c>
      <c r="U56" s="58" t="s">
        <v>7</v>
      </c>
      <c r="V56" s="53" t="s">
        <v>47</v>
      </c>
      <c r="Z56" s="6"/>
      <c r="AB56" s="67"/>
    </row>
    <row r="57" spans="1:28" ht="14.5" customHeight="1" x14ac:dyDescent="0.35">
      <c r="A57" s="169"/>
      <c r="B57" s="116" t="s">
        <v>51</v>
      </c>
      <c r="C57" t="s">
        <v>25</v>
      </c>
      <c r="D57" s="53" t="s">
        <v>47</v>
      </c>
      <c r="J57" s="67"/>
      <c r="K57" s="88" t="s">
        <v>54</v>
      </c>
      <c r="L57" t="s">
        <v>45</v>
      </c>
      <c r="M57" s="53" t="s">
        <v>36</v>
      </c>
      <c r="Q57" s="81"/>
      <c r="R57" s="81"/>
      <c r="S57" s="67"/>
      <c r="T57" s="96" t="s">
        <v>51</v>
      </c>
      <c r="U57" s="58" t="s">
        <v>8</v>
      </c>
      <c r="V57" s="49" t="s">
        <v>47</v>
      </c>
      <c r="W57" s="149"/>
      <c r="X57" s="77"/>
      <c r="Y57" s="1"/>
      <c r="Z57" s="77"/>
      <c r="AA57" s="113"/>
      <c r="AB57" s="68"/>
    </row>
    <row r="58" spans="1:28" ht="14.5" customHeight="1" x14ac:dyDescent="0.35">
      <c r="A58" s="169"/>
      <c r="B58" s="116" t="s">
        <v>51</v>
      </c>
      <c r="C58" t="s">
        <v>0</v>
      </c>
      <c r="D58" s="53" t="s">
        <v>36</v>
      </c>
      <c r="J58" s="67"/>
      <c r="K58" s="90" t="s">
        <v>54</v>
      </c>
      <c r="L58" s="1" t="s">
        <v>46</v>
      </c>
      <c r="M58" s="55" t="s">
        <v>36</v>
      </c>
      <c r="Q58" s="81"/>
      <c r="R58" s="81"/>
      <c r="S58" s="67"/>
      <c r="T58" s="97" t="s">
        <v>52</v>
      </c>
      <c r="U58" s="2" t="s">
        <v>10</v>
      </c>
      <c r="V58" s="50" t="s">
        <v>47</v>
      </c>
      <c r="W58" s="150"/>
      <c r="Z58" s="6"/>
      <c r="AB58" s="67"/>
    </row>
    <row r="59" spans="1:28" ht="14.5" customHeight="1" x14ac:dyDescent="0.35">
      <c r="A59" s="169"/>
      <c r="B59" s="116" t="s">
        <v>51</v>
      </c>
      <c r="C59" t="s">
        <v>37</v>
      </c>
      <c r="D59" s="53" t="s">
        <v>36</v>
      </c>
      <c r="J59" s="67"/>
      <c r="K59" s="101" t="s">
        <v>92</v>
      </c>
      <c r="L59" s="4" t="s">
        <v>90</v>
      </c>
      <c r="M59" s="62" t="s">
        <v>91</v>
      </c>
      <c r="N59" s="80"/>
      <c r="O59" s="4"/>
      <c r="P59" s="4"/>
      <c r="Q59" s="119"/>
      <c r="R59" s="119"/>
      <c r="S59" s="70" t="s">
        <v>94</v>
      </c>
      <c r="T59" s="98" t="s">
        <v>52</v>
      </c>
      <c r="U59" s="60" t="s">
        <v>9</v>
      </c>
      <c r="V59" s="49" t="s">
        <v>47</v>
      </c>
      <c r="W59" s="149"/>
      <c r="Z59" s="6"/>
      <c r="AB59" s="67"/>
    </row>
    <row r="60" spans="1:28" ht="14.5" customHeight="1" x14ac:dyDescent="0.35">
      <c r="A60" s="169"/>
      <c r="B60" s="116" t="s">
        <v>51</v>
      </c>
      <c r="C60" t="s">
        <v>150</v>
      </c>
      <c r="D60" s="53" t="s">
        <v>36</v>
      </c>
      <c r="J60" s="67"/>
      <c r="K60" s="96" t="s">
        <v>93</v>
      </c>
      <c r="L60" s="1" t="s">
        <v>90</v>
      </c>
      <c r="M60" s="55" t="s">
        <v>91</v>
      </c>
      <c r="N60" s="77"/>
      <c r="O60" s="1"/>
      <c r="P60" s="1"/>
      <c r="Q60" s="84"/>
      <c r="R60" s="84"/>
      <c r="S60" s="68" t="s">
        <v>94</v>
      </c>
      <c r="T60" s="99" t="s">
        <v>52</v>
      </c>
      <c r="U60" s="61" t="s">
        <v>27</v>
      </c>
      <c r="V60" s="51" t="s">
        <v>47</v>
      </c>
      <c r="W60" s="151"/>
      <c r="Z60" s="6"/>
      <c r="AB60" s="67"/>
    </row>
    <row r="61" spans="1:28" ht="14.5" customHeight="1" x14ac:dyDescent="0.35">
      <c r="A61" s="169"/>
      <c r="B61" s="116" t="s">
        <v>51</v>
      </c>
      <c r="C61" t="s">
        <v>151</v>
      </c>
      <c r="D61" s="53" t="s">
        <v>36</v>
      </c>
      <c r="J61" s="67"/>
      <c r="K61" s="101" t="s">
        <v>152</v>
      </c>
      <c r="L61" s="4" t="s">
        <v>153</v>
      </c>
      <c r="M61" s="62" t="s">
        <v>154</v>
      </c>
      <c r="N61" s="80"/>
      <c r="O61" s="4"/>
      <c r="P61" s="4"/>
      <c r="Q61" s="119"/>
      <c r="R61" s="148"/>
      <c r="S61" s="131"/>
      <c r="T61" s="98" t="s">
        <v>53</v>
      </c>
      <c r="U61" s="57" t="s">
        <v>11</v>
      </c>
      <c r="V61" s="50" t="s">
        <v>47</v>
      </c>
      <c r="W61" s="149"/>
      <c r="X61" s="76"/>
      <c r="Y61" s="3"/>
      <c r="Z61" s="76"/>
      <c r="AA61" s="112"/>
      <c r="AB61" s="69"/>
    </row>
    <row r="62" spans="1:28" ht="14.5" customHeight="1" x14ac:dyDescent="0.35">
      <c r="A62" s="169"/>
      <c r="B62" s="116" t="s">
        <v>51</v>
      </c>
      <c r="C62" t="s">
        <v>155</v>
      </c>
      <c r="D62" s="53" t="s">
        <v>47</v>
      </c>
      <c r="E62" s="49"/>
      <c r="G62" s="6"/>
      <c r="J62" s="67"/>
      <c r="K62" s="142"/>
      <c r="M62" s="6"/>
      <c r="Q62" s="81"/>
      <c r="R62" s="81"/>
      <c r="T62" s="98" t="s">
        <v>53</v>
      </c>
      <c r="U62" s="58" t="s">
        <v>12</v>
      </c>
      <c r="V62" s="49" t="s">
        <v>47</v>
      </c>
      <c r="W62" s="149"/>
      <c r="Z62" s="6"/>
      <c r="AB62" s="67"/>
    </row>
    <row r="63" spans="1:28" ht="14.5" customHeight="1" x14ac:dyDescent="0.35">
      <c r="A63" s="169"/>
      <c r="B63" s="116" t="s">
        <v>51</v>
      </c>
      <c r="C63" t="s">
        <v>156</v>
      </c>
      <c r="D63" s="53" t="s">
        <v>47</v>
      </c>
      <c r="E63" s="49"/>
      <c r="G63" s="6"/>
      <c r="J63" s="67"/>
      <c r="K63" s="142"/>
      <c r="M63" s="6"/>
      <c r="T63" s="98" t="s">
        <v>53</v>
      </c>
      <c r="U63" s="58" t="s">
        <v>28</v>
      </c>
      <c r="V63" s="49" t="s">
        <v>47</v>
      </c>
      <c r="W63" s="149"/>
      <c r="Z63" s="6"/>
      <c r="AB63" s="67"/>
    </row>
    <row r="64" spans="1:28" ht="14.5" customHeight="1" x14ac:dyDescent="0.35">
      <c r="A64" s="169"/>
      <c r="B64" s="117" t="s">
        <v>52</v>
      </c>
      <c r="C64" s="3" t="s">
        <v>9</v>
      </c>
      <c r="D64" s="54" t="s">
        <v>47</v>
      </c>
      <c r="E64" s="50"/>
      <c r="F64" s="76"/>
      <c r="G64" s="3"/>
      <c r="H64" s="76"/>
      <c r="I64" s="76"/>
      <c r="J64" s="69"/>
      <c r="T64" s="98" t="s">
        <v>53</v>
      </c>
      <c r="U64" s="58" t="s">
        <v>29</v>
      </c>
      <c r="V64" s="49" t="s">
        <v>47</v>
      </c>
      <c r="W64" s="149"/>
      <c r="Z64" s="6"/>
      <c r="AB64" s="67"/>
    </row>
    <row r="65" spans="1:28" ht="14.5" customHeight="1" x14ac:dyDescent="0.35">
      <c r="A65" s="169"/>
      <c r="B65" s="117" t="s">
        <v>52</v>
      </c>
      <c r="C65" t="s">
        <v>27</v>
      </c>
      <c r="D65" s="53" t="s">
        <v>47</v>
      </c>
      <c r="E65" s="51"/>
      <c r="F65" s="77"/>
      <c r="G65" s="1"/>
      <c r="H65" s="77"/>
      <c r="I65" s="77"/>
      <c r="J65" s="68"/>
      <c r="K65" s="18"/>
      <c r="S65" s="13"/>
      <c r="T65" s="98" t="s">
        <v>53</v>
      </c>
      <c r="U65" s="58" t="s">
        <v>30</v>
      </c>
      <c r="V65" s="49" t="s">
        <v>47</v>
      </c>
      <c r="W65" s="149"/>
      <c r="Z65" s="6"/>
      <c r="AB65" s="67"/>
    </row>
    <row r="66" spans="1:28" ht="14.5" customHeight="1" x14ac:dyDescent="0.35">
      <c r="A66" s="169"/>
      <c r="B66" s="117" t="s">
        <v>53</v>
      </c>
      <c r="C66" s="3" t="s">
        <v>11</v>
      </c>
      <c r="D66" s="54" t="s">
        <v>47</v>
      </c>
      <c r="J66" s="67"/>
      <c r="K66" s="18"/>
      <c r="S66" s="13"/>
      <c r="T66" s="98" t="s">
        <v>53</v>
      </c>
      <c r="U66" s="58" t="s">
        <v>31</v>
      </c>
      <c r="V66" s="49" t="s">
        <v>47</v>
      </c>
      <c r="W66" s="149"/>
      <c r="Z66" s="6"/>
      <c r="AB66" s="67"/>
    </row>
    <row r="67" spans="1:28" ht="14.5" customHeight="1" x14ac:dyDescent="0.35">
      <c r="A67" s="169"/>
      <c r="B67" s="117" t="s">
        <v>53</v>
      </c>
      <c r="C67" s="1" t="s">
        <v>12</v>
      </c>
      <c r="D67" s="55" t="s">
        <v>47</v>
      </c>
      <c r="J67" s="67"/>
      <c r="K67" s="18"/>
      <c r="S67" s="13"/>
      <c r="T67" s="98" t="s">
        <v>53</v>
      </c>
      <c r="U67" s="58" t="s">
        <v>32</v>
      </c>
      <c r="V67" s="49" t="s">
        <v>47</v>
      </c>
      <c r="W67" s="149"/>
      <c r="Z67" s="6"/>
      <c r="AB67" s="67"/>
    </row>
    <row r="68" spans="1:28" ht="14.5" customHeight="1" x14ac:dyDescent="0.35">
      <c r="A68" s="169"/>
      <c r="B68" s="116" t="s">
        <v>13</v>
      </c>
      <c r="C68" s="2" t="s">
        <v>13</v>
      </c>
      <c r="D68" s="54" t="s">
        <v>47</v>
      </c>
      <c r="E68" s="50"/>
      <c r="F68" s="76"/>
      <c r="G68" s="3"/>
      <c r="H68" s="76"/>
      <c r="I68" s="76"/>
      <c r="J68" s="71" t="s">
        <v>106</v>
      </c>
      <c r="K68" s="18"/>
      <c r="S68" s="13"/>
      <c r="T68" s="99" t="s">
        <v>53</v>
      </c>
      <c r="U68" s="59" t="s">
        <v>33</v>
      </c>
      <c r="V68" s="51" t="s">
        <v>47</v>
      </c>
      <c r="W68" s="149"/>
      <c r="X68" s="77"/>
      <c r="Y68" s="1"/>
      <c r="Z68" s="77"/>
      <c r="AA68" s="113"/>
      <c r="AB68" s="68"/>
    </row>
    <row r="69" spans="1:28" ht="14.5" customHeight="1" x14ac:dyDescent="0.35">
      <c r="A69" s="169"/>
      <c r="B69" s="116" t="s">
        <v>13</v>
      </c>
      <c r="C69" s="8" t="s">
        <v>55</v>
      </c>
      <c r="D69" s="53" t="s">
        <v>57</v>
      </c>
      <c r="E69" s="49"/>
      <c r="J69" s="67"/>
      <c r="K69" s="17"/>
      <c r="S69" s="13"/>
      <c r="T69" s="95" t="s">
        <v>74</v>
      </c>
      <c r="U69" s="58" t="s">
        <v>74</v>
      </c>
      <c r="V69" s="49" t="s">
        <v>47</v>
      </c>
      <c r="W69" s="150"/>
      <c r="Z69" s="6"/>
      <c r="AB69" s="67" t="s">
        <v>106</v>
      </c>
    </row>
    <row r="70" spans="1:28" ht="14.5" customHeight="1" x14ac:dyDescent="0.35">
      <c r="A70" s="169"/>
      <c r="B70" s="116" t="s">
        <v>13</v>
      </c>
      <c r="C70" s="21" t="s">
        <v>56</v>
      </c>
      <c r="D70" s="55" t="s">
        <v>58</v>
      </c>
      <c r="E70" s="51"/>
      <c r="F70" s="77"/>
      <c r="G70" s="1"/>
      <c r="H70" s="77"/>
      <c r="I70" s="77"/>
      <c r="J70" s="68"/>
      <c r="K70" s="17"/>
      <c r="S70" s="13"/>
      <c r="T70" s="95" t="s">
        <v>74</v>
      </c>
      <c r="U70" s="63" t="s">
        <v>75</v>
      </c>
      <c r="V70" s="49" t="s">
        <v>57</v>
      </c>
      <c r="W70" s="149"/>
      <c r="Z70" s="6"/>
      <c r="AB70" s="67"/>
    </row>
    <row r="71" spans="1:28" ht="14.5" customHeight="1" x14ac:dyDescent="0.35">
      <c r="A71" s="169"/>
      <c r="B71" s="116" t="s">
        <v>59</v>
      </c>
      <c r="C71" s="2" t="s">
        <v>59</v>
      </c>
      <c r="D71" s="53" t="s">
        <v>47</v>
      </c>
      <c r="F71" s="76"/>
      <c r="G71" s="3"/>
      <c r="H71" s="76"/>
      <c r="I71" s="76"/>
      <c r="J71" s="71" t="s">
        <v>106</v>
      </c>
      <c r="K71" s="18"/>
      <c r="S71" s="13"/>
      <c r="T71" s="95" t="s">
        <v>74</v>
      </c>
      <c r="U71" s="63" t="s">
        <v>76</v>
      </c>
      <c r="V71" s="49" t="s">
        <v>58</v>
      </c>
      <c r="W71" s="149"/>
      <c r="Z71" s="6"/>
      <c r="AB71" s="67"/>
    </row>
    <row r="72" spans="1:28" ht="14.5" customHeight="1" x14ac:dyDescent="0.35">
      <c r="A72" s="169"/>
      <c r="B72" s="116" t="s">
        <v>59</v>
      </c>
      <c r="C72" s="8" t="s">
        <v>55</v>
      </c>
      <c r="D72" s="53" t="s">
        <v>57</v>
      </c>
      <c r="J72" s="67"/>
      <c r="K72" s="18"/>
      <c r="S72" s="13"/>
      <c r="T72" s="95" t="s">
        <v>74</v>
      </c>
      <c r="U72" s="64" t="s">
        <v>81</v>
      </c>
      <c r="V72" s="49" t="s">
        <v>47</v>
      </c>
      <c r="W72" s="149"/>
      <c r="Z72" s="6"/>
      <c r="AB72" s="67"/>
    </row>
    <row r="73" spans="1:28" ht="14.5" customHeight="1" x14ac:dyDescent="0.35">
      <c r="A73" s="169"/>
      <c r="B73" s="116" t="s">
        <v>59</v>
      </c>
      <c r="C73" s="8" t="s">
        <v>56</v>
      </c>
      <c r="D73" s="53" t="s">
        <v>58</v>
      </c>
      <c r="J73" s="67"/>
      <c r="K73" s="18"/>
      <c r="S73" s="13"/>
      <c r="T73" s="95" t="s">
        <v>74</v>
      </c>
      <c r="U73" s="64" t="s">
        <v>64</v>
      </c>
      <c r="V73" s="49" t="s">
        <v>47</v>
      </c>
      <c r="W73" s="151"/>
      <c r="Z73" s="6"/>
      <c r="AB73" s="67"/>
    </row>
    <row r="74" spans="1:28" ht="14.5" customHeight="1" x14ac:dyDescent="0.35">
      <c r="A74" s="169"/>
      <c r="B74" s="116" t="s">
        <v>59</v>
      </c>
      <c r="C74" s="8" t="s">
        <v>60</v>
      </c>
      <c r="D74" s="53" t="s">
        <v>47</v>
      </c>
      <c r="J74" s="67"/>
      <c r="K74" s="17"/>
      <c r="M74" s="6"/>
      <c r="S74" s="13"/>
      <c r="T74" s="100" t="s">
        <v>146</v>
      </c>
      <c r="U74" s="57" t="s">
        <v>148</v>
      </c>
      <c r="V74" s="50" t="s">
        <v>47</v>
      </c>
      <c r="W74" s="149"/>
      <c r="X74" s="76"/>
      <c r="Y74" s="3"/>
      <c r="Z74" s="76"/>
      <c r="AA74" s="112"/>
      <c r="AB74" s="69" t="s">
        <v>106</v>
      </c>
    </row>
    <row r="75" spans="1:28" ht="14.5" customHeight="1" x14ac:dyDescent="0.35">
      <c r="A75" s="169"/>
      <c r="B75" s="116" t="s">
        <v>59</v>
      </c>
      <c r="C75" s="8" t="s">
        <v>61</v>
      </c>
      <c r="D75" s="53" t="s">
        <v>47</v>
      </c>
      <c r="J75" s="67"/>
      <c r="K75" s="17"/>
      <c r="S75" s="13"/>
      <c r="T75" s="95" t="s">
        <v>146</v>
      </c>
      <c r="U75" s="63" t="s">
        <v>75</v>
      </c>
      <c r="V75" s="49" t="s">
        <v>57</v>
      </c>
      <c r="W75" s="149"/>
      <c r="Z75" s="6"/>
      <c r="AB75" s="67"/>
    </row>
    <row r="76" spans="1:28" ht="14.5" customHeight="1" x14ac:dyDescent="0.35">
      <c r="A76" s="169"/>
      <c r="B76" s="116" t="s">
        <v>59</v>
      </c>
      <c r="C76" s="8" t="s">
        <v>62</v>
      </c>
      <c r="D76" s="53" t="s">
        <v>47</v>
      </c>
      <c r="J76" s="67"/>
      <c r="K76" s="17"/>
      <c r="M76" s="6"/>
      <c r="S76" s="13"/>
      <c r="T76" s="96" t="s">
        <v>146</v>
      </c>
      <c r="U76" s="65" t="s">
        <v>76</v>
      </c>
      <c r="V76" s="51" t="s">
        <v>58</v>
      </c>
      <c r="W76" s="149"/>
      <c r="X76" s="77"/>
      <c r="Y76" s="1"/>
      <c r="Z76" s="77"/>
      <c r="AA76" s="113"/>
      <c r="AB76" s="68"/>
    </row>
    <row r="77" spans="1:28" ht="14.5" customHeight="1" x14ac:dyDescent="0.35">
      <c r="A77" s="169"/>
      <c r="B77" s="116" t="s">
        <v>59</v>
      </c>
      <c r="C77" s="8" t="s">
        <v>63</v>
      </c>
      <c r="D77" s="53" t="s">
        <v>47</v>
      </c>
      <c r="J77" s="67"/>
      <c r="K77" s="17"/>
      <c r="M77" s="6"/>
      <c r="S77" s="13"/>
      <c r="T77" s="100" t="s">
        <v>147</v>
      </c>
      <c r="U77" s="57" t="s">
        <v>149</v>
      </c>
      <c r="V77" s="50" t="s">
        <v>47</v>
      </c>
      <c r="W77" s="150"/>
      <c r="X77" s="76"/>
      <c r="Y77" s="3"/>
      <c r="Z77" s="76"/>
      <c r="AA77" s="112"/>
      <c r="AB77" s="69" t="s">
        <v>106</v>
      </c>
    </row>
    <row r="78" spans="1:28" ht="14.5" customHeight="1" x14ac:dyDescent="0.35">
      <c r="A78" s="169"/>
      <c r="B78" s="116" t="s">
        <v>59</v>
      </c>
      <c r="C78" s="8" t="s">
        <v>64</v>
      </c>
      <c r="D78" s="53" t="s">
        <v>47</v>
      </c>
      <c r="J78" s="67"/>
      <c r="K78" s="17"/>
      <c r="M78" s="6"/>
      <c r="S78" s="13"/>
      <c r="T78" s="95" t="s">
        <v>147</v>
      </c>
      <c r="U78" s="63" t="s">
        <v>75</v>
      </c>
      <c r="V78" s="49" t="s">
        <v>57</v>
      </c>
      <c r="W78" s="149"/>
      <c r="Z78" s="6"/>
      <c r="AB78" s="67"/>
    </row>
    <row r="79" spans="1:28" ht="14.5" customHeight="1" x14ac:dyDescent="0.35">
      <c r="A79" s="169"/>
      <c r="B79" s="116" t="s">
        <v>59</v>
      </c>
      <c r="C79" s="8" t="s">
        <v>65</v>
      </c>
      <c r="D79" s="53" t="s">
        <v>47</v>
      </c>
      <c r="J79" s="67"/>
      <c r="K79" s="17"/>
      <c r="S79" s="13"/>
      <c r="T79" s="96" t="s">
        <v>147</v>
      </c>
      <c r="U79" s="65" t="s">
        <v>76</v>
      </c>
      <c r="V79" s="51" t="s">
        <v>58</v>
      </c>
      <c r="W79" s="151"/>
      <c r="X79" s="77"/>
      <c r="Y79" s="1"/>
      <c r="Z79" s="77"/>
      <c r="AA79" s="113"/>
      <c r="AB79" s="68"/>
    </row>
    <row r="80" spans="1:28" ht="14.5" customHeight="1" x14ac:dyDescent="0.35">
      <c r="A80" s="169"/>
      <c r="B80" s="116" t="s">
        <v>59</v>
      </c>
      <c r="C80" s="8" t="s">
        <v>66</v>
      </c>
      <c r="D80" s="53" t="s">
        <v>47</v>
      </c>
      <c r="J80" s="67"/>
      <c r="K80" s="17"/>
      <c r="S80" s="13"/>
    </row>
    <row r="81" spans="1:28" ht="14.5" customHeight="1" x14ac:dyDescent="0.35">
      <c r="A81" s="169"/>
      <c r="B81" s="116" t="s">
        <v>59</v>
      </c>
      <c r="C81" s="21" t="s">
        <v>67</v>
      </c>
      <c r="D81" s="55" t="s">
        <v>47</v>
      </c>
      <c r="F81" s="77"/>
      <c r="G81" s="1"/>
      <c r="H81" s="77"/>
      <c r="I81" s="77"/>
      <c r="J81" s="68"/>
      <c r="K81" s="18"/>
      <c r="S81" s="13"/>
    </row>
    <row r="82" spans="1:28" ht="14.5" customHeight="1" x14ac:dyDescent="0.35">
      <c r="A82" s="169"/>
      <c r="B82" s="116" t="s">
        <v>68</v>
      </c>
      <c r="C82" t="s">
        <v>69</v>
      </c>
      <c r="D82" s="53" t="s">
        <v>47</v>
      </c>
      <c r="E82" s="50"/>
      <c r="G82" s="3"/>
      <c r="J82" s="71" t="s">
        <v>106</v>
      </c>
      <c r="K82" s="18"/>
      <c r="S82" s="13"/>
    </row>
    <row r="83" spans="1:28" ht="14.5" customHeight="1" x14ac:dyDescent="0.35">
      <c r="A83" s="169"/>
      <c r="B83" s="116" t="s">
        <v>68</v>
      </c>
      <c r="C83" s="14" t="s">
        <v>55</v>
      </c>
      <c r="D83" s="53" t="s">
        <v>57</v>
      </c>
      <c r="J83" s="67"/>
      <c r="K83" s="18"/>
      <c r="S83" s="13"/>
    </row>
    <row r="84" spans="1:28" ht="14.5" customHeight="1" x14ac:dyDescent="0.35">
      <c r="A84" s="169"/>
      <c r="B84" s="116" t="s">
        <v>68</v>
      </c>
      <c r="C84" s="14" t="s">
        <v>56</v>
      </c>
      <c r="D84" s="53" t="s">
        <v>58</v>
      </c>
      <c r="J84" s="67"/>
      <c r="K84" s="18"/>
      <c r="S84" s="13"/>
      <c r="T84" s="18"/>
      <c r="AB84" s="13"/>
    </row>
    <row r="85" spans="1:28" ht="14.5" customHeight="1" x14ac:dyDescent="0.35">
      <c r="A85" s="169"/>
      <c r="B85" s="116" t="s">
        <v>68</v>
      </c>
      <c r="C85" s="14" t="s">
        <v>60</v>
      </c>
      <c r="D85" s="53" t="s">
        <v>47</v>
      </c>
      <c r="J85" s="67"/>
      <c r="K85" s="18"/>
      <c r="S85" s="13"/>
      <c r="T85" s="18"/>
      <c r="AB85" s="13"/>
    </row>
    <row r="86" spans="1:28" ht="14.5" customHeight="1" x14ac:dyDescent="0.35">
      <c r="A86" s="169"/>
      <c r="B86" s="116" t="s">
        <v>68</v>
      </c>
      <c r="C86" s="14" t="s">
        <v>77</v>
      </c>
      <c r="D86" s="53" t="s">
        <v>47</v>
      </c>
      <c r="J86" s="67"/>
      <c r="K86" s="18"/>
      <c r="S86" s="13"/>
      <c r="T86" s="18"/>
      <c r="AB86" s="13"/>
    </row>
    <row r="87" spans="1:28" ht="14.5" customHeight="1" x14ac:dyDescent="0.35">
      <c r="A87" s="169"/>
      <c r="B87" s="116" t="s">
        <v>68</v>
      </c>
      <c r="C87" s="14" t="s">
        <v>62</v>
      </c>
      <c r="D87" s="53" t="s">
        <v>47</v>
      </c>
      <c r="J87" s="67"/>
      <c r="K87" s="18"/>
      <c r="S87" s="13"/>
      <c r="T87" s="18"/>
      <c r="AB87" s="13"/>
    </row>
    <row r="88" spans="1:28" ht="15" customHeight="1" x14ac:dyDescent="0.35">
      <c r="A88" s="169"/>
      <c r="B88" s="116" t="s">
        <v>68</v>
      </c>
      <c r="C88" s="14" t="s">
        <v>63</v>
      </c>
      <c r="D88" s="53" t="s">
        <v>47</v>
      </c>
      <c r="J88" s="67"/>
      <c r="K88" s="18"/>
      <c r="S88" s="13"/>
      <c r="T88" s="18"/>
      <c r="AB88" s="13"/>
    </row>
    <row r="89" spans="1:28" ht="17.149999999999999" customHeight="1" x14ac:dyDescent="0.35">
      <c r="A89" s="169"/>
      <c r="B89" s="101" t="s">
        <v>68</v>
      </c>
      <c r="C89" s="14" t="s">
        <v>64</v>
      </c>
      <c r="D89" s="53" t="s">
        <v>47</v>
      </c>
      <c r="J89" s="67"/>
      <c r="K89" s="18"/>
      <c r="S89" s="13"/>
      <c r="T89" s="18"/>
      <c r="AB89" s="13"/>
    </row>
    <row r="90" spans="1:28" ht="14.5" customHeight="1" x14ac:dyDescent="0.35">
      <c r="A90" s="169"/>
      <c r="B90" s="116" t="s">
        <v>68</v>
      </c>
      <c r="C90" s="14" t="s">
        <v>65</v>
      </c>
      <c r="D90" s="53" t="s">
        <v>47</v>
      </c>
      <c r="J90" s="67"/>
      <c r="K90" s="18"/>
      <c r="S90" s="13"/>
      <c r="T90" s="18"/>
      <c r="V90" s="6"/>
      <c r="AB90" s="13"/>
    </row>
    <row r="91" spans="1:28" ht="14.5" customHeight="1" x14ac:dyDescent="0.35">
      <c r="A91" s="169"/>
      <c r="B91" s="116" t="s">
        <v>68</v>
      </c>
      <c r="C91" s="14" t="s">
        <v>66</v>
      </c>
      <c r="D91" s="53" t="s">
        <v>47</v>
      </c>
      <c r="J91" s="67"/>
      <c r="K91" s="18"/>
      <c r="S91" s="13"/>
      <c r="T91" s="18"/>
      <c r="V91" s="6"/>
      <c r="AB91" s="13"/>
    </row>
    <row r="92" spans="1:28" ht="14.5" customHeight="1" x14ac:dyDescent="0.35">
      <c r="A92" s="169"/>
      <c r="B92" s="116" t="s">
        <v>68</v>
      </c>
      <c r="C92" s="14" t="s">
        <v>67</v>
      </c>
      <c r="D92" s="53" t="s">
        <v>47</v>
      </c>
      <c r="J92" s="67"/>
      <c r="K92" s="18"/>
      <c r="S92" s="13"/>
      <c r="T92" s="18"/>
      <c r="V92" s="6"/>
      <c r="AB92" s="13"/>
    </row>
    <row r="93" spans="1:28" ht="15" customHeight="1" x14ac:dyDescent="0.35">
      <c r="A93" s="169"/>
      <c r="B93" s="116" t="s">
        <v>68</v>
      </c>
      <c r="C93" s="14" t="s">
        <v>70</v>
      </c>
      <c r="D93" s="53" t="s">
        <v>47</v>
      </c>
      <c r="J93" s="67"/>
      <c r="K93" s="18"/>
      <c r="S93" s="13"/>
      <c r="T93" s="18"/>
      <c r="V93" s="6"/>
      <c r="AB93" s="13"/>
    </row>
    <row r="94" spans="1:28" ht="14.5" customHeight="1" x14ac:dyDescent="0.35">
      <c r="A94" s="169"/>
      <c r="B94" s="116" t="s">
        <v>68</v>
      </c>
      <c r="C94" s="14" t="s">
        <v>71</v>
      </c>
      <c r="D94" s="53" t="s">
        <v>47</v>
      </c>
      <c r="J94" s="67"/>
      <c r="K94" s="18"/>
      <c r="S94" s="13"/>
      <c r="T94" s="18"/>
      <c r="V94" s="6"/>
      <c r="AB94" s="13"/>
    </row>
    <row r="95" spans="1:28" ht="14.5" customHeight="1" x14ac:dyDescent="0.35">
      <c r="A95" s="169"/>
      <c r="B95" s="116" t="s">
        <v>68</v>
      </c>
      <c r="C95" s="14" t="s">
        <v>72</v>
      </c>
      <c r="D95" s="53" t="s">
        <v>36</v>
      </c>
      <c r="J95" s="67"/>
      <c r="K95" s="18"/>
      <c r="S95" s="13"/>
      <c r="T95" s="18"/>
      <c r="AB95" s="13"/>
    </row>
    <row r="96" spans="1:28" ht="14.5" customHeight="1" thickBot="1" x14ac:dyDescent="0.4">
      <c r="A96" s="170"/>
      <c r="B96" s="118" t="s">
        <v>68</v>
      </c>
      <c r="C96" s="20" t="s">
        <v>73</v>
      </c>
      <c r="D96" s="56" t="s">
        <v>36</v>
      </c>
      <c r="E96" s="78"/>
      <c r="F96" s="78"/>
      <c r="G96" s="15"/>
      <c r="H96" s="78"/>
      <c r="I96" s="78"/>
      <c r="J96" s="72"/>
      <c r="K96" s="19"/>
      <c r="L96" s="15"/>
      <c r="M96" s="15"/>
      <c r="N96" s="78"/>
      <c r="O96" s="15"/>
      <c r="P96" s="15"/>
      <c r="Q96" s="15"/>
      <c r="R96" s="15"/>
      <c r="S96" s="16"/>
      <c r="T96" s="19"/>
      <c r="U96" s="15"/>
      <c r="V96" s="15"/>
      <c r="W96" s="114"/>
      <c r="X96" s="78"/>
      <c r="Y96" s="15"/>
      <c r="Z96" s="15"/>
      <c r="AA96" s="114"/>
      <c r="AB96" s="16"/>
    </row>
    <row r="97" spans="1:22" ht="14.5" customHeight="1" x14ac:dyDescent="0.35">
      <c r="A97" s="46"/>
      <c r="B97" s="45"/>
      <c r="C97" s="14"/>
      <c r="D97" s="6"/>
    </row>
    <row r="98" spans="1:22" ht="14.5" customHeight="1" x14ac:dyDescent="0.35">
      <c r="A98" s="46"/>
      <c r="B98" s="45"/>
      <c r="C98" s="14"/>
      <c r="D98" s="6"/>
    </row>
    <row r="99" spans="1:22" ht="14.5" customHeight="1" x14ac:dyDescent="0.35">
      <c r="A99" s="46"/>
      <c r="B99" s="45"/>
      <c r="C99" s="14"/>
      <c r="D99" s="6"/>
    </row>
    <row r="100" spans="1:22" ht="14.5" customHeight="1" x14ac:dyDescent="0.35">
      <c r="A100" s="46"/>
      <c r="B100" s="45"/>
      <c r="C100" s="45"/>
      <c r="D100" s="14"/>
    </row>
    <row r="101" spans="1:22" ht="14.5" customHeight="1" x14ac:dyDescent="0.4">
      <c r="A101" s="46"/>
      <c r="B101" s="45"/>
      <c r="C101" s="5"/>
      <c r="D101" s="146"/>
    </row>
    <row r="102" spans="1:22" ht="14.5" customHeight="1" x14ac:dyDescent="0.4">
      <c r="A102" s="46"/>
      <c r="B102" s="45"/>
      <c r="C102" s="5"/>
      <c r="D102" s="146"/>
      <c r="V102" s="6"/>
    </row>
    <row r="103" spans="1:22" ht="14.5" customHeight="1" x14ac:dyDescent="0.4">
      <c r="A103" s="46"/>
      <c r="B103" s="45"/>
      <c r="C103" s="5"/>
      <c r="D103" s="146"/>
      <c r="V103" s="6"/>
    </row>
    <row r="104" spans="1:22" ht="14.5" customHeight="1" x14ac:dyDescent="0.4">
      <c r="A104" s="46"/>
      <c r="B104" s="45"/>
      <c r="C104" s="5"/>
      <c r="D104" s="146"/>
      <c r="V104" s="6"/>
    </row>
    <row r="105" spans="1:22" ht="14.5" customHeight="1" x14ac:dyDescent="0.35">
      <c r="A105" s="46"/>
      <c r="B105" s="45"/>
      <c r="C105" s="14"/>
      <c r="D105" s="6"/>
    </row>
    <row r="106" spans="1:22" ht="14.5" customHeight="1" x14ac:dyDescent="0.35">
      <c r="A106" s="46"/>
      <c r="B106" s="45"/>
      <c r="C106" s="14"/>
      <c r="D106" s="6"/>
      <c r="V106" s="6"/>
    </row>
    <row r="107" spans="1:22" ht="15" customHeight="1" x14ac:dyDescent="0.35">
      <c r="A107" s="46"/>
      <c r="B107" s="45"/>
      <c r="C107" s="14"/>
      <c r="D107" s="6"/>
      <c r="V107" s="6"/>
    </row>
    <row r="108" spans="1:22" x14ac:dyDescent="0.35">
      <c r="A108" s="9"/>
      <c r="B108" s="7"/>
      <c r="D108" s="6"/>
      <c r="V108" s="6"/>
    </row>
    <row r="109" spans="1:22" x14ac:dyDescent="0.35">
      <c r="A109" s="9"/>
      <c r="B109" s="7"/>
      <c r="D109" s="6"/>
      <c r="V109" s="6"/>
    </row>
    <row r="110" spans="1:22" x14ac:dyDescent="0.35">
      <c r="A110" s="9"/>
      <c r="B110" s="7"/>
      <c r="D110" s="6"/>
      <c r="V110" s="6"/>
    </row>
    <row r="111" spans="1:22" x14ac:dyDescent="0.35">
      <c r="A111" s="9"/>
      <c r="B111" s="7"/>
      <c r="D111" s="6"/>
      <c r="V111" s="6"/>
    </row>
    <row r="112" spans="1:22" x14ac:dyDescent="0.35">
      <c r="A112" s="9"/>
      <c r="B112" s="7"/>
      <c r="D112" s="6"/>
      <c r="V112" s="6"/>
    </row>
    <row r="113" spans="1:22" x14ac:dyDescent="0.35">
      <c r="A113" s="9"/>
      <c r="B113" s="7"/>
      <c r="D113" s="6"/>
      <c r="V113" s="6"/>
    </row>
    <row r="114" spans="1:22" x14ac:dyDescent="0.35">
      <c r="A114" s="9"/>
      <c r="B114" s="7"/>
      <c r="D114" s="6"/>
      <c r="V114" s="6"/>
    </row>
    <row r="115" spans="1:22" x14ac:dyDescent="0.35">
      <c r="A115" s="9"/>
      <c r="B115" s="7"/>
      <c r="D115" s="6"/>
      <c r="V115" s="6"/>
    </row>
    <row r="116" spans="1:22" x14ac:dyDescent="0.35">
      <c r="A116" s="9"/>
      <c r="B116" s="7"/>
      <c r="D116" s="6"/>
      <c r="V116" s="6"/>
    </row>
    <row r="117" spans="1:22" x14ac:dyDescent="0.35">
      <c r="A117" s="9"/>
      <c r="B117" s="7"/>
      <c r="D117" s="6"/>
      <c r="V117" s="6"/>
    </row>
    <row r="118" spans="1:22" x14ac:dyDescent="0.35">
      <c r="A118" s="9"/>
      <c r="B118" s="7"/>
      <c r="D118" s="6"/>
      <c r="V118" s="6"/>
    </row>
    <row r="119" spans="1:22" x14ac:dyDescent="0.35">
      <c r="A119" s="9"/>
      <c r="B119" s="7"/>
      <c r="C119" s="10"/>
      <c r="D119" s="6"/>
      <c r="V119" s="6"/>
    </row>
  </sheetData>
  <mergeCells count="6">
    <mergeCell ref="A50:A96"/>
    <mergeCell ref="A1:A2"/>
    <mergeCell ref="B1:J1"/>
    <mergeCell ref="K1:S1"/>
    <mergeCell ref="T1:AB1"/>
    <mergeCell ref="A3:A49"/>
  </mergeCells>
  <phoneticPr fontId="13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B2DBE0-B740-40DE-9CF3-3BB9CAC5F456}">
          <x14:formula1>
            <xm:f>aide!$C$54:$C$56</xm:f>
          </x14:formula1>
          <xm:sqref>O73:O96 O69:O70 X75:X76 O3:O13 O18:O19 X37:X49 O26:O60 X78:X79 X84:X96 F3:F96 X57:X73 X3:X32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aide</vt:lpstr>
      <vt:lpstr>achats_2022</vt:lpstr>
      <vt:lpstr>démontage_2022</vt:lpstr>
      <vt:lpstr>parc_entier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Aubet</dc:creator>
  <cp:lastModifiedBy>Louise Aubet</cp:lastModifiedBy>
  <dcterms:created xsi:type="dcterms:W3CDTF">2015-06-05T18:19:34Z</dcterms:created>
  <dcterms:modified xsi:type="dcterms:W3CDTF">2025-04-30T15:31:43Z</dcterms:modified>
</cp:coreProperties>
</file>